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425" windowHeight="7695" activeTab="1"/>
  </bookViews>
  <sheets>
    <sheet sheetId="1" name="OPI Format" state="visible" r:id="rId4"/>
    <sheet sheetId="3" name="Rapid Order Terms &amp; Condition" state="visible" r:id="rId5"/>
    <sheet sheetId="4" name="MDPL Supply Terms &amp; Condition" state="visible" r:id="rId6"/>
  </sheets>
  <definedNames>
    <definedName name="_xlnm._FilterDatabase">'Trench 6'!$A$1:$L$85</definedName>
  </definedNames>
  <calcPr calcId="171027"/>
</workbook>
</file>

<file path=xl/sharedStrings.xml><?xml version="1.0" encoding="utf-8"?>
<sst xmlns="http://schemas.openxmlformats.org/spreadsheetml/2006/main" count="84" uniqueCount="80">
  <si>
    <t>ORDER PROCESSING INFORMATION</t>
  </si>
  <si>
    <t>Customer Code</t>
  </si>
  <si>
    <t>PO No.:</t>
  </si>
  <si>
    <t xml:space="preserve">PO Date :   </t>
  </si>
  <si>
    <t>Meril Diagnostics (P) Ltd.</t>
  </si>
  <si>
    <t>612-B, Bonanza, Sahar Plaza, J.B.Nagar,</t>
  </si>
  <si>
    <t>Rapid</t>
  </si>
  <si>
    <t>RR</t>
  </si>
  <si>
    <t>PRR</t>
  </si>
  <si>
    <t>Key Cust.</t>
  </si>
  <si>
    <t>Govt.</t>
  </si>
  <si>
    <t>Andheri-Kurla Road, Asndheri (East), Mumbai - 400059</t>
  </si>
  <si>
    <t>Order Type</t>
  </si>
  <si>
    <t>E Mail :Reagents.OPI@merillife.com</t>
  </si>
  <si>
    <t>Distributor Billing Name &amp; Postal Address with Pincode</t>
  </si>
  <si>
    <t>Distributor Shipping Name &amp; Postal Address with Pincode</t>
  </si>
  <si>
    <t xml:space="preserve"> </t>
  </si>
  <si>
    <t>Landmark If Any:</t>
  </si>
  <si>
    <t xml:space="preserve">City:  </t>
  </si>
  <si>
    <t xml:space="preserve">State:  </t>
  </si>
  <si>
    <t xml:space="preserve">Pin Code: </t>
  </si>
  <si>
    <t>Pancard holder Name/No.</t>
  </si>
  <si>
    <t>Name of Authorized person</t>
  </si>
  <si>
    <t>GST No. &amp; Validity Period</t>
  </si>
  <si>
    <t>Mobile No of Authorized person</t>
  </si>
  <si>
    <t>Drug LC No &amp; Expiry date</t>
  </si>
  <si>
    <t>E Mail ID of Authorized person</t>
  </si>
  <si>
    <t>Aadhar Card Number</t>
  </si>
  <si>
    <t xml:space="preserve">Payment Terms </t>
  </si>
  <si>
    <t>Product Code</t>
  </si>
  <si>
    <t>Product Description</t>
  </si>
  <si>
    <t>Major Group</t>
  </si>
  <si>
    <t>Pack Size</t>
  </si>
  <si>
    <t>DB Price</t>
  </si>
  <si>
    <t>Order price</t>
  </si>
  <si>
    <t>Qty</t>
  </si>
  <si>
    <t>Free Qty</t>
  </si>
  <si>
    <t>Value</t>
  </si>
  <si>
    <t>Remarks</t>
  </si>
  <si>
    <t>Column1</t>
  </si>
  <si>
    <t>Other Comments or Special Instructions :</t>
  </si>
  <si>
    <t>TOTAL</t>
  </si>
  <si>
    <t>Terms &amp; Condition:</t>
  </si>
  <si>
    <t>GST</t>
  </si>
  <si>
    <t>1. Original Order Copy</t>
  </si>
  <si>
    <t>Special freight charges</t>
  </si>
  <si>
    <t>2. Adv. Payment Details</t>
  </si>
  <si>
    <t>Additional levi (if any)</t>
  </si>
  <si>
    <t>3. Blank Cheq. No. &amp; Dt.</t>
  </si>
  <si>
    <t>Any recovery Amount</t>
  </si>
  <si>
    <t>4. Scheme/Dis. If applied</t>
  </si>
  <si>
    <t xml:space="preserve">Total Value </t>
  </si>
  <si>
    <t>FLSP Name:</t>
  </si>
  <si>
    <t>EMP Code:</t>
  </si>
  <si>
    <t>FLSP Email ID:</t>
  </si>
  <si>
    <t>ASM/RSM Name:</t>
  </si>
  <si>
    <t>ZSM Name:</t>
  </si>
  <si>
    <r>
      <rPr>
        <b/>
        <family val="1"/>
        <sz val="12"/>
        <rFont val="Cambria"/>
      </rPr>
      <t xml:space="preserve">Remarks: All details mentioned above are mandatory. </t>
    </r>
    <r>
      <rPr>
        <b/>
        <color rgb="FFFFFF00"/>
        <family val="1"/>
        <sz val="12"/>
        <rFont val="Cambria"/>
      </rPr>
      <t>Need to send duly filled OPI to : cd.opi@merillife.com</t>
    </r>
  </si>
  <si>
    <t>Rapid Order Terms &amp; Conditions</t>
  </si>
  <si>
    <t>Dear Channel Partner,</t>
  </si>
  <si>
    <t>Thank you very much for choosing Meril brand kits.</t>
  </si>
  <si>
    <t>We are pleased to inform you that we have processed your order in the SAP system.</t>
  </si>
  <si>
    <t>Your ordered kits is getting invoiced and dispatched shortly.</t>
  </si>
  <si>
    <t>You are kindly requested to go through below order terms and give us your confirmation:-</t>
  </si>
  <si>
    <t>1. I am herewith confirming the kits Ordered Quantity &amp; Price is correct</t>
  </si>
  <si>
    <t xml:space="preserve">2. The email ID &amp; Phone No. is correct and I am OK to receive updated order status through mail &amp; SMS  </t>
  </si>
  <si>
    <t>3. I am herewith confirming that I have given blank cheque/s along with order. I will clear payment by Cheque / NEFT / RTGS / IMPS as per 30 days credit from the date of invoice</t>
  </si>
  <si>
    <t>4. In case of order cancelled after Invoice, the order cancellation charges will be applicable @ 18% pa.</t>
  </si>
  <si>
    <t>5. I am herewith confirming that no verbal commitment has been done with any person for order</t>
  </si>
  <si>
    <t>6. In case of payment dispute, the case will be heard within Vapi jurisdiction</t>
  </si>
  <si>
    <t>MDPL Supply Terms &amp; Conditions</t>
  </si>
  <si>
    <t>1. Material once billed &amp; dispatched cannot be taken back</t>
  </si>
  <si>
    <t>2. Distributor is responsible for the ordered material quantity &amp; full payment to Meril Diagnostics</t>
  </si>
  <si>
    <t>3. Distributor is responsible for supply of material and recovery of payment from market</t>
  </si>
  <si>
    <t>4. Sales team member will help in liquidating the ordered material by providing leads from local market</t>
  </si>
  <si>
    <t>5. Distributor is responsible for supply of material and recovery of payments against the leads provided by Meril sales person</t>
  </si>
  <si>
    <t>6. The credit facility given to distributor is 30 days from the date of invoice which includes transit time</t>
  </si>
  <si>
    <t>7. Quality issue in material will be approved by Meril Quality Control Dept. and replacement will be provided by Meril</t>
  </si>
  <si>
    <t>8. Expired material without any quality issue will not be taken back. No credit note will be issued or adjustment will be done against due payment</t>
  </si>
  <si>
    <t>9. Distributor will make invoice wise payment and will share the invoice details along with payment details. No cash payment will be accepted and accounted against the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</si>
</sst>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38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family val="2"/>
      <sz val="8"/>
      <name val="Calibri"/>
    </font>
    <font>
      <b/>
      <u/>
      <family val="2"/>
      <sz val="14"/>
      <name val="Calibri"/>
    </font>
    <font>
      <b/>
      <family val="2"/>
      <sz val="10"/>
      <name val="Calibri"/>
    </font>
    <font>
      <b/>
      <color indexed="56"/>
      <family val="2"/>
      <sz val="8"/>
      <name val="Calibri"/>
    </font>
    <font>
      <b/>
      <u/>
      <family val="2"/>
      <sz val="16"/>
      <name val="Calibri"/>
    </font>
    <font>
      <b/>
      <family val="2"/>
      <sz val="11"/>
      <name val="Calibri"/>
    </font>
    <font>
      <b/>
      <u/>
      <color indexed="12"/>
      <family val="2"/>
      <sz val="14"/>
      <name val="Calibri"/>
    </font>
    <font>
      <b/>
      <family val="2"/>
      <sz val="9"/>
      <name val="Calibri"/>
    </font>
    <font>
      <b/>
      <color rgb="FF000000"/>
      <family val="2"/>
      <sz val="11"/>
      <name val="Calibri"/>
    </font>
    <font>
      <family val="2"/>
      <sz val="10"/>
      <name val="Calibri"/>
    </font>
    <font>
      <family val="2"/>
      <sz val="9"/>
      <name val="Calibri"/>
    </font>
    <font>
      <family val="2"/>
      <sz val="12"/>
      <name val="Calibri"/>
    </font>
    <font>
      <b/>
      <color theme="1"/>
      <family val="2"/>
      <sz val="11"/>
      <name val="Calibri"/>
    </font>
    <font>
      <color theme="1"/>
      <family val="2"/>
      <sz val="11"/>
      <name val="Calibri"/>
    </font>
    <font>
      <b/>
      <color rgb="FF000000"/>
      <family val="1"/>
      <sz val="10"/>
      <name val="Cambria"/>
    </font>
    <font>
      <color rgb="FF000000"/>
      <family val="1"/>
      <sz val="9"/>
      <name val="Times New Roman"/>
    </font>
    <font>
      <charset val="134"/>
      <sz val="11"/>
      <name val="Calibri"/>
    </font>
    <font>
      <u/>
      <color rgb="FF0000FF"/>
      <family val="2"/>
      <sz val="11"/>
      <name val="Calibri"/>
    </font>
    <font>
      <color rgb="FF000000"/>
      <family val="2"/>
      <sz val="10"/>
      <name val="Verdana"/>
    </font>
    <font>
      <family val="2"/>
      <sz val="11"/>
      <name val="Calibri"/>
    </font>
    <font>
      <color rgb="FF000000"/>
      <family val="2"/>
      <scheme val="minor"/>
      <sz val="12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  <font>
      <family val="2"/>
      <scheme val="minor"/>
      <sz val="11"/>
      <name val="Calibri"/>
    </font>
    <font>
      <color theme="1"/>
      <family val="1"/>
      <scheme val="major"/>
      <sz val="11"/>
      <name val="Cambria"/>
    </font>
    <font>
      <color theme="1"/>
      <family val="2"/>
      <scheme val="minor"/>
      <sz val="10"/>
      <name val="Calibri"/>
    </font>
    <font>
      <b/>
      <u/>
      <family val="2"/>
      <sz val="10"/>
      <name val="Calibri"/>
    </font>
    <font>
      <b/>
      <family val="2"/>
      <sz val="8"/>
      <name val="Calibri"/>
    </font>
    <font>
      <b/>
      <family val="2"/>
      <sz val="12"/>
      <name val="Calibri"/>
    </font>
    <font>
      <b/>
      <family val="1"/>
      <sz val="12"/>
      <name val="Cambria"/>
    </font>
    <font>
      <color rgb="FFFFFFFF"/>
      <family val="2"/>
      <sz val="11"/>
      <name val="Calibri"/>
    </font>
    <font>
      <b/>
      <u/>
      <color rgb="FF000000"/>
      <family val="2"/>
      <sz val="14"/>
      <name val="Calibri"/>
    </font>
    <font>
      <color rgb="FF000000"/>
      <family val="2"/>
      <sz val="14"/>
      <name val="Calibri"/>
    </font>
    <font>
      <b/>
      <color rgb="FF000000"/>
      <family val="2"/>
      <sz val="12"/>
      <name val="Calibri"/>
    </font>
    <font>
      <color rgb="FF000000"/>
      <family val="2"/>
      <sz val="12"/>
      <name val="Calibri"/>
    </font>
    <font>
      <b/>
      <u/>
      <color rgb="FF000000"/>
      <family val="2"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thin">
        <color indexed="0"/>
      </right>
      <top style="medium"/>
      <bottom style="medium"/>
      <diagonal/>
    </border>
    <border>
      <left style="thin">
        <color indexed="0"/>
      </left>
      <right/>
      <top style="medium"/>
      <bottom style="medium"/>
      <diagonal/>
    </border>
    <border>
      <left style="thin">
        <color indexed="0"/>
      </left>
      <right style="thin">
        <color indexed="0"/>
      </right>
      <top style="medium"/>
      <bottom style="medium"/>
      <diagonal/>
    </border>
    <border>
      <left style="thin">
        <color indexed="0"/>
      </left>
      <right style="thin">
        <color indexed="0"/>
      </right>
      <top/>
      <bottom style="medium"/>
      <diagonal/>
    </border>
    <border>
      <left style="medium"/>
      <right style="thin">
        <color indexed="0"/>
      </right>
      <top/>
      <bottom style="medium"/>
      <diagonal/>
    </border>
    <border>
      <left style="thin">
        <color indexed="0"/>
      </left>
      <right style="medium"/>
      <top/>
      <bottom style="medium"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/>
      <top style="thin"/>
      <bottom/>
      <diagonal/>
    </border>
    <border>
      <left/>
      <right style="thin">
        <color indexed="0"/>
      </right>
      <top style="thin">
        <color indexed="0"/>
      </top>
      <bottom style="double">
        <color indexed="0"/>
      </bottom>
      <diagonal/>
    </border>
    <border>
      <left/>
      <right style="thin"/>
      <top/>
      <bottom/>
      <diagonal/>
    </border>
    <border>
      <left style="thin">
        <color indexed="0"/>
      </left>
      <right/>
      <top style="medium"/>
      <bottom style="thin">
        <color indexed="0"/>
      </bottom>
      <diagonal/>
    </border>
    <border>
      <left/>
      <right/>
      <top style="medium"/>
      <bottom style="thin">
        <color indexed="0"/>
      </bottom>
      <diagonal/>
    </border>
    <border>
      <left/>
      <right style="thin">
        <color indexed="0"/>
      </right>
      <top style="medium"/>
      <bottom style="thin">
        <color indexed="0"/>
      </bottom>
      <diagonal/>
    </border>
    <border>
      <left style="medium"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/>
      <right style="thin">
        <color indexed="0"/>
      </right>
      <top style="thin">
        <color indexed="0"/>
      </top>
      <bottom/>
      <diagonal/>
    </border>
    <border>
      <left/>
      <right style="medium"/>
      <top style="thin">
        <color indexed="0"/>
      </top>
      <bottom/>
      <diagonal/>
    </border>
    <border>
      <left/>
      <right style="thin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19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2" fillId="2" borderId="1" xfId="0" applyNumberFormat="1" applyFont="1" applyFill="1" applyBorder="1" applyProtection="1">
      <protection locked="0"/>
    </xf>
    <xf numFmtId="1" fontId="3" fillId="2" borderId="2" xfId="0" applyNumberFormat="1" applyFont="1" applyFill="1" applyBorder="1" applyAlignment="1" applyProtection="1">
      <alignment horizontal="center"/>
      <protection locked="0"/>
    </xf>
    <xf numFmtId="1" fontId="4" fillId="2" borderId="2" xfId="0" applyNumberFormat="1" applyFont="1" applyFill="1" applyBorder="1" applyProtection="1">
      <protection locked="0"/>
    </xf>
    <xf numFmtId="1" fontId="5" fillId="2" borderId="3" xfId="0" applyNumberFormat="1" applyFont="1" applyFill="1" applyBorder="1" applyAlignment="1" applyProtection="1">
      <alignment horizontal="center"/>
      <protection locked="0"/>
    </xf>
    <xf numFmtId="1" fontId="2" fillId="2" borderId="4" xfId="0" applyNumberFormat="1" applyFont="1" applyFill="1" applyBorder="1" applyProtection="1">
      <protection locked="0"/>
    </xf>
    <xf numFmtId="1" fontId="6" fillId="2" borderId="0" xfId="0" applyNumberFormat="1" applyFont="1" applyFill="1" applyAlignment="1" applyProtection="1">
      <alignment horizontal="center"/>
      <protection locked="0"/>
    </xf>
    <xf numFmtId="1" fontId="7" fillId="2" borderId="5" xfId="0" applyNumberFormat="1" applyFont="1" applyFill="1" applyBorder="1" applyAlignment="1" applyProtection="1">
      <alignment horizontal="left"/>
      <protection locked="0"/>
    </xf>
    <xf numFmtId="1" fontId="7" fillId="2" borderId="6" xfId="0" applyNumberFormat="1" applyFont="1" applyFill="1" applyBorder="1" applyAlignment="1" applyProtection="1">
      <alignment horizontal="left"/>
      <protection locked="0"/>
    </xf>
    <xf numFmtId="1" fontId="7" fillId="2" borderId="7" xfId="0" applyNumberFormat="1" applyFont="1" applyFill="1" applyBorder="1" applyAlignment="1" applyProtection="1">
      <alignment horizontal="center"/>
      <protection locked="0"/>
    </xf>
    <xf numFmtId="1" fontId="2" fillId="2" borderId="4" xfId="0" applyNumberFormat="1" applyFont="1" applyFill="1" applyBorder="1" applyAlignment="1" applyProtection="1">
      <alignment horizontal="left"/>
      <protection locked="0"/>
    </xf>
    <xf numFmtId="1" fontId="2" fillId="2" borderId="0" xfId="0" applyNumberFormat="1" applyFont="1" applyFill="1" applyAlignment="1" applyProtection="1">
      <alignment horizontal="left"/>
      <protection locked="0"/>
    </xf>
    <xf numFmtId="1" fontId="2" fillId="2" borderId="0" xfId="0" applyNumberFormat="1" applyFont="1" applyFill="1" applyAlignment="1" applyProtection="1">
      <alignment horizontal="center" vertical="center"/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1" fontId="8" fillId="2" borderId="0" xfId="0" applyNumberFormat="1" applyFont="1" applyFill="1" applyAlignment="1" applyProtection="1">
      <alignment horizontal="center"/>
      <protection locked="0"/>
    </xf>
    <xf numFmtId="1" fontId="2" fillId="2" borderId="0" xfId="0" applyNumberFormat="1" applyFont="1" applyFill="1" applyProtection="1">
      <protection locked="0"/>
    </xf>
    <xf numFmtId="1" fontId="7" fillId="2" borderId="4" xfId="0" applyNumberFormat="1" applyFont="1" applyFill="1" applyBorder="1" applyProtection="1">
      <protection locked="0"/>
    </xf>
    <xf numFmtId="1" fontId="9" fillId="2" borderId="0" xfId="0" applyNumberFormat="1" applyFont="1" applyFill="1" applyProtection="1">
      <protection locked="0"/>
    </xf>
    <xf numFmtId="1" fontId="9" fillId="2" borderId="0" xfId="0" applyNumberFormat="1" applyFont="1" applyFill="1" applyAlignment="1" applyProtection="1">
      <alignment horizontal="center" vertical="center"/>
      <protection locked="0"/>
    </xf>
    <xf numFmtId="1" fontId="10" fillId="2" borderId="0" xfId="0" applyNumberFormat="1" applyFont="1" applyFill="1" applyAlignment="1">
      <alignment horizontal="left" vertical="center" wrapText="1"/>
    </xf>
    <xf numFmtId="1" fontId="11" fillId="2" borderId="4" xfId="0" applyNumberFormat="1" applyFont="1" applyFill="1" applyBorder="1" applyAlignment="1" applyProtection="1">
      <alignment horizontal="left"/>
      <protection locked="0"/>
    </xf>
    <xf numFmtId="1" fontId="12" fillId="2" borderId="0" xfId="0" applyNumberFormat="1" applyFont="1" applyFill="1" applyAlignment="1" applyProtection="1">
      <alignment horizontal="left"/>
      <protection locked="0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1" fontId="2" fillId="2" borderId="7" xfId="0" applyNumberFormat="1" applyFont="1" applyFill="1" applyBorder="1" applyAlignment="1" applyProtection="1">
      <alignment horizontal="center"/>
      <protection locked="0"/>
    </xf>
    <xf numFmtId="1" fontId="12" fillId="2" borderId="0" xfId="0" applyNumberFormat="1" applyFont="1" applyFill="1" applyAlignment="1" applyProtection="1">
      <alignment horizontal="center" vertical="center"/>
      <protection locked="0"/>
    </xf>
    <xf numFmtId="1" fontId="13" fillId="3" borderId="0" xfId="0" applyNumberFormat="1" applyFont="1" applyFill="1" applyAlignment="1">
      <alignment horizontal="center" vertical="center"/>
    </xf>
    <xf numFmtId="1" fontId="13" fillId="3" borderId="0" xfId="0" applyNumberFormat="1" applyFont="1" applyFill="1"/>
    <xf numFmtId="1" fontId="13" fillId="2" borderId="0" xfId="0" applyNumberFormat="1" applyFont="1" applyFill="1" applyProtection="1">
      <protection locked="0"/>
    </xf>
    <xf numFmtId="1" fontId="7" fillId="4" borderId="12" xfId="0" applyNumberFormat="1" applyFont="1" applyFill="1" applyBorder="1" applyAlignment="1" applyProtection="1">
      <alignment horizontal="center" vertical="center"/>
      <protection locked="0"/>
    </xf>
    <xf numFmtId="1" fontId="7" fillId="4" borderId="13" xfId="0" applyNumberFormat="1" applyFont="1" applyFill="1" applyBorder="1" applyAlignment="1" applyProtection="1">
      <alignment horizontal="center" vertical="center"/>
      <protection locked="0"/>
    </xf>
    <xf numFmtId="1" fontId="7" fillId="4" borderId="14" xfId="0" applyNumberFormat="1" applyFont="1" applyFill="1" applyBorder="1" applyAlignment="1" applyProtection="1">
      <alignment horizontal="center" vertical="center"/>
      <protection locked="0"/>
    </xf>
    <xf numFmtId="1" fontId="7" fillId="4" borderId="15" xfId="0" applyNumberFormat="1" applyFont="1" applyFill="1" applyBorder="1" applyAlignment="1" applyProtection="1">
      <alignment horizontal="center" vertical="center"/>
      <protection locked="0"/>
    </xf>
    <xf numFmtId="1" fontId="7" fillId="4" borderId="16" xfId="0" applyNumberFormat="1" applyFont="1" applyFill="1" applyBorder="1" applyAlignment="1" applyProtection="1">
      <alignment horizontal="center" vertical="center"/>
      <protection locked="0"/>
    </xf>
    <xf numFmtId="1" fontId="7" fillId="4" borderId="17" xfId="0" applyNumberFormat="1" applyFont="1" applyFill="1" applyBorder="1" applyAlignment="1" applyProtection="1">
      <alignment horizontal="center" vertical="center"/>
      <protection locked="0"/>
    </xf>
    <xf numFmtId="1" fontId="7" fillId="3" borderId="18" xfId="0" applyNumberFormat="1" applyFont="1" applyFill="1" applyBorder="1" applyAlignment="1" applyProtection="1">
      <alignment horizontal="center"/>
      <protection locked="0"/>
    </xf>
    <xf numFmtId="1" fontId="7" fillId="3" borderId="19" xfId="0" applyNumberFormat="1" applyFont="1" applyFill="1" applyBorder="1" applyAlignment="1" applyProtection="1">
      <alignment horizontal="center"/>
      <protection locked="0"/>
    </xf>
    <xf numFmtId="1" fontId="7" fillId="3" borderId="20" xfId="0" applyNumberFormat="1" applyFont="1" applyFill="1" applyBorder="1" applyAlignment="1" applyProtection="1">
      <alignment horizontal="center"/>
      <protection locked="0"/>
    </xf>
    <xf numFmtId="0" fontId="14" fillId="3" borderId="21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4" xfId="0" applyFont="1" applyFill="1" applyBorder="1" applyAlignment="1" applyProtection="1">
      <alignment horizontal="center" vertical="center"/>
      <protection locked="0"/>
    </xf>
    <xf numFmtId="1" fontId="7" fillId="3" borderId="22" xfId="0" applyNumberFormat="1" applyFont="1" applyFill="1" applyBorder="1" applyAlignment="1" applyProtection="1">
      <alignment horizontal="center" wrapText="1"/>
      <protection locked="0"/>
    </xf>
    <xf numFmtId="1" fontId="7" fillId="3" borderId="23" xfId="0" applyNumberFormat="1" applyFont="1" applyFill="1" applyBorder="1" applyAlignment="1" applyProtection="1">
      <alignment horizontal="center"/>
      <protection locked="0"/>
    </xf>
    <xf numFmtId="1" fontId="7" fillId="3" borderId="24" xfId="0" applyNumberFormat="1" applyFont="1" applyFill="1" applyBorder="1" applyAlignment="1" applyProtection="1">
      <alignment horizontal="center"/>
      <protection locked="0"/>
    </xf>
    <xf numFmtId="0" fontId="14" fillId="3" borderId="25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4" fillId="3" borderId="26" xfId="0" applyFont="1" applyFill="1" applyBorder="1" applyAlignment="1" applyProtection="1">
      <alignment horizontal="center" vertical="center"/>
      <protection locked="0"/>
    </xf>
    <xf numFmtId="1" fontId="15" fillId="3" borderId="27" xfId="0" applyNumberFormat="1" applyFont="1" applyFill="1" applyBorder="1" applyAlignment="1" applyProtection="1">
      <alignment horizontal="center"/>
      <protection locked="0"/>
    </xf>
    <xf numFmtId="1" fontId="15" fillId="3" borderId="28" xfId="0" applyNumberFormat="1" applyFont="1" applyFill="1" applyBorder="1" applyAlignment="1" applyProtection="1">
      <alignment horizontal="center"/>
      <protection locked="0"/>
    </xf>
    <xf numFmtId="1" fontId="15" fillId="3" borderId="24" xfId="0" applyNumberFormat="1" applyFont="1" applyFill="1" applyBorder="1" applyAlignment="1" applyProtection="1">
      <alignment horizontal="center"/>
      <protection locked="0"/>
    </xf>
    <xf numFmtId="0" fontId="14" fillId="3" borderId="29" xfId="0" applyFont="1" applyFill="1" applyBorder="1" applyAlignment="1" applyProtection="1">
      <alignment horizontal="center" vertical="center"/>
      <protection locked="0"/>
    </xf>
    <xf numFmtId="0" fontId="14" fillId="3" borderId="30" xfId="0" applyFont="1" applyFill="1" applyBorder="1" applyAlignment="1" applyProtection="1">
      <alignment horizontal="center" vertical="center"/>
      <protection locked="0"/>
    </xf>
    <xf numFmtId="0" fontId="14" fillId="3" borderId="31" xfId="0" applyFont="1" applyFill="1" applyBorder="1" applyAlignment="1" applyProtection="1">
      <alignment horizontal="center" vertical="center"/>
      <protection locked="0"/>
    </xf>
    <xf numFmtId="1" fontId="7" fillId="3" borderId="32" xfId="0" applyNumberFormat="1" applyFont="1" applyFill="1" applyBorder="1" applyProtection="1">
      <protection locked="0"/>
    </xf>
    <xf numFmtId="1" fontId="7" fillId="3" borderId="33" xfId="0" applyNumberFormat="1" applyFont="1" applyFill="1" applyBorder="1" applyAlignment="1" applyProtection="1">
      <alignment horizontal="left"/>
      <protection locked="0"/>
    </xf>
    <xf numFmtId="1" fontId="7" fillId="3" borderId="34" xfId="0" applyNumberFormat="1" applyFont="1" applyFill="1" applyBorder="1" applyAlignment="1" applyProtection="1">
      <alignment horizontal="left"/>
      <protection locked="0"/>
    </xf>
    <xf numFmtId="1" fontId="7" fillId="3" borderId="35" xfId="0" applyNumberFormat="1" applyFont="1" applyFill="1" applyBorder="1" applyAlignment="1" applyProtection="1">
      <alignment horizontal="left"/>
      <protection locked="0"/>
    </xf>
    <xf numFmtId="1" fontId="7" fillId="3" borderId="36" xfId="0" applyNumberFormat="1" applyFont="1" applyFill="1" applyBorder="1" applyAlignment="1" applyProtection="1">
      <alignment horizontal="left"/>
      <protection locked="0"/>
    </xf>
    <xf numFmtId="1" fontId="7" fillId="3" borderId="37" xfId="0" applyNumberFormat="1" applyFont="1" applyFill="1" applyBorder="1" applyAlignment="1" applyProtection="1">
      <alignment horizontal="left"/>
      <protection locked="0"/>
    </xf>
    <xf numFmtId="1" fontId="7" fillId="3" borderId="38" xfId="0" applyNumberFormat="1" applyFont="1" applyFill="1" applyBorder="1" applyProtection="1">
      <protection locked="0"/>
    </xf>
    <xf numFmtId="1" fontId="7" fillId="3" borderId="15" xfId="0" applyNumberFormat="1" applyFont="1" applyFill="1" applyBorder="1" applyProtection="1">
      <protection locked="0"/>
    </xf>
    <xf numFmtId="1" fontId="7" fillId="3" borderId="5" xfId="0" applyNumberFormat="1" applyFont="1" applyFill="1" applyBorder="1" applyAlignment="1" applyProtection="1">
      <alignment horizontal="left"/>
      <protection locked="0"/>
    </xf>
    <xf numFmtId="1" fontId="16" fillId="2" borderId="11" xfId="0" applyNumberFormat="1" applyFont="1" applyFill="1" applyBorder="1" applyProtection="1">
      <protection locked="0"/>
    </xf>
    <xf numFmtId="0" fontId="17" fillId="2" borderId="39" xfId="0" applyFont="1" applyFill="1" applyBorder="1" applyAlignment="1">
      <alignment vertical="center" wrapText="1"/>
    </xf>
    <xf numFmtId="1" fontId="18" fillId="3" borderId="30" xfId="0" applyNumberFormat="1" applyFont="1" applyFill="1" applyBorder="1" applyProtection="1">
      <protection locked="0"/>
    </xf>
    <xf numFmtId="0" fontId="16" fillId="2" borderId="5" xfId="0" applyFont="1" applyFill="1" applyBorder="1" applyAlignment="1">
      <alignment horizontal="left"/>
    </xf>
    <xf numFmtId="0" fontId="19" fillId="3" borderId="5" xfId="0" applyFont="1" applyFill="1" applyBorder="1" applyProtection="1">
      <protection locked="0"/>
    </xf>
    <xf numFmtId="1" fontId="18" fillId="2" borderId="5" xfId="0" applyNumberFormat="1" applyFont="1" applyFill="1" applyBorder="1" applyProtection="1">
      <protection locked="0"/>
    </xf>
    <xf numFmtId="1" fontId="16" fillId="2" borderId="5" xfId="0" applyNumberFormat="1" applyFont="1" applyFill="1" applyBorder="1" applyProtection="1">
      <protection locked="0"/>
    </xf>
    <xf numFmtId="0" fontId="20" fillId="0" borderId="0" xfId="0" applyFont="1" applyAlignment="1">
      <alignment vertical="center"/>
    </xf>
    <xf numFmtId="1" fontId="18" fillId="3" borderId="28" xfId="0" applyNumberFormat="1" applyFont="1" applyFill="1" applyBorder="1" applyProtection="1">
      <protection locked="0"/>
    </xf>
    <xf numFmtId="0" fontId="21" fillId="3" borderId="5" xfId="0" applyFont="1" applyFill="1" applyBorder="1" applyProtection="1">
      <protection locked="0"/>
    </xf>
    <xf numFmtId="1" fontId="1" fillId="0" borderId="0" xfId="0" applyNumberFormat="1" applyFont="1" applyAlignment="1">
      <alignment wrapText="1"/>
    </xf>
    <xf numFmtId="1" fontId="16" fillId="2" borderId="5" xfId="0" applyNumberFormat="1" applyFont="1" applyFill="1" applyBorder="1" applyAlignment="1" applyProtection="1">
      <alignment wrapText="1"/>
      <protection locked="0"/>
    </xf>
    <xf numFmtId="1" fontId="18" fillId="3" borderId="5" xfId="0" applyNumberFormat="1" applyFont="1" applyFill="1" applyBorder="1" applyAlignment="1" applyProtection="1">
      <alignment wrapText="1"/>
      <protection locked="0"/>
    </xf>
    <xf numFmtId="1" fontId="18" fillId="3" borderId="28" xfId="0" applyNumberFormat="1" applyFont="1" applyFill="1" applyBorder="1" applyAlignment="1" applyProtection="1">
      <alignment wrapText="1"/>
      <protection locked="0"/>
    </xf>
    <xf numFmtId="0" fontId="16" fillId="2" borderId="5" xfId="0" applyFont="1" applyFill="1" applyBorder="1" applyAlignment="1">
      <alignment horizontal="left" wrapText="1"/>
    </xf>
    <xf numFmtId="0" fontId="19" fillId="0" borderId="5" xfId="0" applyFont="1" applyBorder="1" applyProtection="1">
      <protection locked="0"/>
    </xf>
    <xf numFmtId="1" fontId="7" fillId="5" borderId="5" xfId="0" applyNumberFormat="1" applyFont="1" applyFill="1" applyBorder="1" applyAlignment="1" applyProtection="1">
      <alignment horizontal="center" vertical="center"/>
      <protection locked="0"/>
    </xf>
    <xf numFmtId="1" fontId="18" fillId="2" borderId="5" xfId="0" applyNumberFormat="1" applyFont="1" applyFill="1" applyBorder="1" applyAlignment="1" applyProtection="1">
      <alignment wrapText="1"/>
      <protection locked="0"/>
    </xf>
    <xf numFmtId="1" fontId="16" fillId="0" borderId="40" xfId="0" applyNumberFormat="1" applyFont="1" applyBorder="1"/>
    <xf numFmtId="1" fontId="18" fillId="3" borderId="40" xfId="0" applyNumberFormat="1" applyFont="1" applyFill="1" applyBorder="1" applyProtection="1">
      <protection locked="0"/>
    </xf>
    <xf numFmtId="1" fontId="18" fillId="3" borderId="36" xfId="0" applyNumberFormat="1" applyFont="1" applyFill="1" applyBorder="1" applyProtection="1">
      <protection locked="0"/>
    </xf>
    <xf numFmtId="1" fontId="16" fillId="0" borderId="5" xfId="0" applyNumberFormat="1" applyFont="1" applyBorder="1" applyAlignment="1">
      <alignment horizontal="left"/>
    </xf>
    <xf numFmtId="1" fontId="10" fillId="6" borderId="41" xfId="0" applyNumberFormat="1" applyFont="1" applyFill="1" applyBorder="1" applyAlignment="1" applyProtection="1">
      <alignment horizontal="center" vertical="center"/>
      <protection locked="0"/>
    </xf>
    <xf numFmtId="1" fontId="10" fillId="7" borderId="42" xfId="0" applyNumberFormat="1" applyFont="1" applyFill="1" applyBorder="1" applyAlignment="1" applyProtection="1">
      <alignment horizontal="center" vertical="center"/>
      <protection locked="0"/>
    </xf>
    <xf numFmtId="1" fontId="10" fillId="7" borderId="43" xfId="0" applyNumberFormat="1" applyFont="1" applyFill="1" applyBorder="1" applyAlignment="1" applyProtection="1">
      <alignment horizontal="center" vertical="center"/>
      <protection locked="0"/>
    </xf>
    <xf numFmtId="1" fontId="10" fillId="7" borderId="44" xfId="0" applyNumberFormat="1" applyFont="1" applyFill="1" applyBorder="1" applyAlignment="1" applyProtection="1">
      <alignment horizontal="center" vertical="center"/>
      <protection locked="0"/>
    </xf>
    <xf numFmtId="1" fontId="10" fillId="6" borderId="45" xfId="0" applyNumberFormat="1" applyFont="1" applyFill="1" applyBorder="1" applyAlignment="1" applyProtection="1">
      <alignment horizontal="center" vertical="center"/>
      <protection locked="0"/>
    </xf>
    <xf numFmtId="1" fontId="10" fillId="7" borderId="46" xfId="0" applyNumberFormat="1" applyFont="1" applyFill="1" applyBorder="1" applyAlignment="1" applyProtection="1">
      <alignment horizontal="center" vertical="center"/>
      <protection locked="0"/>
    </xf>
    <xf numFmtId="1" fontId="10" fillId="6" borderId="3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/>
    </xf>
    <xf numFmtId="0" fontId="22" fillId="0" borderId="0" xfId="0" applyFont="1"/>
    <xf numFmtId="1" fontId="23" fillId="0" borderId="47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/>
    </xf>
    <xf numFmtId="1" fontId="11" fillId="0" borderId="47" xfId="0" applyNumberFormat="1" applyFont="1" applyBorder="1" applyAlignment="1">
      <alignment horizontal="center" vertical="center"/>
    </xf>
    <xf numFmtId="164" fontId="23" fillId="0" borderId="47" xfId="0" applyNumberFormat="1" applyFont="1" applyBorder="1" applyAlignment="1">
      <alignment horizontal="center" vertical="center"/>
    </xf>
    <xf numFmtId="1" fontId="4" fillId="0" borderId="47" xfId="0" applyNumberFormat="1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27" fillId="0" borderId="3" xfId="0" applyNumberFormat="1" applyFont="1" applyBorder="1" applyAlignment="1">
      <alignment horizontal="center" vertical="center" wrapText="1"/>
    </xf>
    <xf numFmtId="1" fontId="23" fillId="2" borderId="49" xfId="0" applyNumberFormat="1" applyFont="1" applyFill="1" applyBorder="1" applyAlignment="1">
      <alignment horizontal="center" vertical="center"/>
    </xf>
    <xf numFmtId="1" fontId="11" fillId="2" borderId="49" xfId="0" applyNumberFormat="1" applyFont="1" applyFill="1" applyBorder="1" applyAlignment="1">
      <alignment horizontal="left"/>
    </xf>
    <xf numFmtId="1" fontId="4" fillId="2" borderId="49" xfId="0" applyNumberFormat="1" applyFont="1" applyFill="1" applyBorder="1" applyAlignment="1" applyProtection="1">
      <alignment horizontal="center"/>
      <protection locked="0"/>
    </xf>
    <xf numFmtId="1" fontId="4" fillId="2" borderId="49" xfId="0" applyNumberFormat="1" applyFont="1" applyFill="1" applyBorder="1" applyAlignment="1">
      <alignment horizontal="center"/>
    </xf>
    <xf numFmtId="1" fontId="1" fillId="0" borderId="4" xfId="0" applyNumberFormat="1" applyFont="1" applyBorder="1"/>
    <xf numFmtId="1" fontId="23" fillId="2" borderId="47" xfId="0" applyNumberFormat="1" applyFont="1" applyFill="1" applyBorder="1" applyAlignment="1">
      <alignment horizontal="center" vertical="center"/>
    </xf>
    <xf numFmtId="1" fontId="11" fillId="2" borderId="47" xfId="0" applyNumberFormat="1" applyFont="1" applyFill="1" applyBorder="1" applyAlignment="1">
      <alignment horizontal="left"/>
    </xf>
    <xf numFmtId="1" fontId="4" fillId="2" borderId="47" xfId="0" applyNumberFormat="1" applyFont="1" applyFill="1" applyBorder="1" applyAlignment="1" applyProtection="1">
      <alignment horizontal="center"/>
      <protection locked="0"/>
    </xf>
    <xf numFmtId="1" fontId="4" fillId="2" borderId="47" xfId="0" applyNumberFormat="1" applyFont="1" applyFill="1" applyBorder="1" applyAlignment="1">
      <alignment horizontal="center"/>
    </xf>
    <xf numFmtId="1" fontId="28" fillId="3" borderId="35" xfId="0" applyNumberFormat="1" applyFont="1" applyFill="1" applyBorder="1" applyAlignment="1" applyProtection="1">
      <alignment horizontal="left"/>
      <protection locked="0"/>
    </xf>
    <xf numFmtId="1" fontId="28" fillId="3" borderId="50" xfId="0" applyNumberFormat="1" applyFont="1" applyFill="1" applyBorder="1" applyAlignment="1" applyProtection="1">
      <alignment horizontal="left"/>
      <protection locked="0"/>
    </xf>
    <xf numFmtId="1" fontId="18" fillId="2" borderId="2" xfId="0" applyNumberFormat="1" applyFont="1" applyFill="1" applyBorder="1" applyAlignment="1" applyProtection="1">
      <alignment horizontal="center" vertical="center"/>
      <protection locked="0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/>
    <xf numFmtId="1" fontId="18" fillId="2" borderId="2" xfId="0" applyNumberFormat="1" applyFont="1" applyFill="1" applyBorder="1" applyAlignment="1" applyProtection="1">
      <alignment horizontal="center"/>
      <protection locked="0"/>
    </xf>
    <xf numFmtId="1" fontId="7" fillId="2" borderId="2" xfId="0" applyNumberFormat="1" applyFont="1" applyFill="1" applyBorder="1" applyAlignment="1" applyProtection="1">
      <alignment horizontal="center"/>
      <protection locked="0"/>
    </xf>
    <xf numFmtId="164" fontId="7" fillId="4" borderId="51" xfId="0" applyNumberFormat="1" applyFont="1" applyFill="1" applyBorder="1" applyAlignment="1">
      <alignment horizontal="center"/>
    </xf>
    <xf numFmtId="1" fontId="9" fillId="3" borderId="25" xfId="0" applyNumberFormat="1" applyFont="1" applyFill="1" applyBorder="1" applyAlignment="1" applyProtection="1">
      <alignment horizontal="left"/>
      <protection locked="0"/>
    </xf>
    <xf numFmtId="1" fontId="9" fillId="3" borderId="52" xfId="0" applyNumberFormat="1" applyFont="1" applyFill="1" applyBorder="1" applyAlignment="1" applyProtection="1">
      <alignment horizontal="left"/>
      <protection locked="0"/>
    </xf>
    <xf numFmtId="1" fontId="29" fillId="2" borderId="0" xfId="0" applyNumberFormat="1" applyFont="1" applyFill="1" applyAlignment="1" applyProtection="1">
      <alignment horizontal="center" vertical="center"/>
      <protection locked="0"/>
    </xf>
    <xf numFmtId="1" fontId="29" fillId="2" borderId="0" xfId="0" applyNumberFormat="1" applyFont="1" applyFill="1" applyAlignment="1" applyProtection="1">
      <alignment horizontal="left"/>
      <protection locked="0"/>
    </xf>
    <xf numFmtId="1" fontId="11" fillId="2" borderId="0" xfId="0" applyNumberFormat="1" applyFont="1" applyFill="1" applyProtection="1">
      <protection locked="0"/>
    </xf>
    <xf numFmtId="1" fontId="11" fillId="2" borderId="7" xfId="0" applyNumberFormat="1" applyFont="1" applyFill="1" applyBorder="1" applyAlignment="1">
      <alignment horizontal="center"/>
    </xf>
    <xf numFmtId="1" fontId="9" fillId="0" borderId="12" xfId="0" applyNumberFormat="1" applyFont="1" applyBorder="1"/>
    <xf numFmtId="1" fontId="9" fillId="2" borderId="53" xfId="0" applyNumberFormat="1" applyFont="1" applyFill="1" applyBorder="1" applyAlignment="1" applyProtection="1">
      <alignment horizontal="left" vertical="top"/>
      <protection locked="0"/>
    </xf>
    <xf numFmtId="1" fontId="29" fillId="2" borderId="54" xfId="0" applyNumberFormat="1" applyFont="1" applyFill="1" applyBorder="1" applyAlignment="1" applyProtection="1">
      <alignment horizontal="center" vertical="center"/>
      <protection locked="0"/>
    </xf>
    <xf numFmtId="1" fontId="29" fillId="2" borderId="54" xfId="0" applyNumberFormat="1" applyFont="1" applyFill="1" applyBorder="1" applyAlignment="1" applyProtection="1">
      <alignment horizontal="left" vertical="top"/>
      <protection locked="0"/>
    </xf>
    <xf numFmtId="1" fontId="29" fillId="2" borderId="55" xfId="0" applyNumberFormat="1" applyFont="1" applyFill="1" applyBorder="1" applyAlignment="1" applyProtection="1">
      <alignment horizontal="left" vertical="top"/>
      <protection locked="0"/>
    </xf>
    <xf numFmtId="1" fontId="2" fillId="2" borderId="13" xfId="0" applyNumberFormat="1" applyFont="1" applyFill="1" applyBorder="1" applyProtection="1">
      <protection locked="0"/>
    </xf>
    <xf numFmtId="1" fontId="11" fillId="2" borderId="13" xfId="0" applyNumberFormat="1" applyFont="1" applyFill="1" applyBorder="1" applyProtection="1">
      <protection locked="0"/>
    </xf>
    <xf numFmtId="1" fontId="11" fillId="2" borderId="14" xfId="0" applyNumberFormat="1" applyFont="1" applyFill="1" applyBorder="1" applyAlignment="1">
      <alignment horizontal="center"/>
    </xf>
    <xf numFmtId="1" fontId="9" fillId="2" borderId="56" xfId="0" applyNumberFormat="1" applyFont="1" applyFill="1" applyBorder="1" applyAlignment="1" applyProtection="1">
      <alignment vertical="top"/>
      <protection locked="0"/>
    </xf>
    <xf numFmtId="1" fontId="9" fillId="2" borderId="57" xfId="0" applyNumberFormat="1" applyFont="1" applyFill="1" applyBorder="1" applyAlignment="1" applyProtection="1">
      <alignment vertical="top"/>
      <protection locked="0"/>
    </xf>
    <xf numFmtId="1" fontId="29" fillId="2" borderId="58" xfId="0" applyNumberFormat="1" applyFont="1" applyFill="1" applyBorder="1" applyAlignment="1" applyProtection="1">
      <alignment horizontal="center" vertical="center"/>
      <protection locked="0"/>
    </xf>
    <xf numFmtId="1" fontId="29" fillId="2" borderId="58" xfId="0" applyNumberFormat="1" applyFont="1" applyFill="1" applyBorder="1" applyAlignment="1" applyProtection="1">
      <alignment vertical="top"/>
      <protection locked="0"/>
    </xf>
    <xf numFmtId="1" fontId="29" fillId="2" borderId="59" xfId="0" applyNumberFormat="1" applyFont="1" applyFill="1" applyBorder="1" applyAlignment="1" applyProtection="1">
      <alignment vertical="top"/>
      <protection locked="0"/>
    </xf>
    <xf numFmtId="1" fontId="2" fillId="2" borderId="26" xfId="0" applyNumberFormat="1" applyFont="1" applyFill="1" applyBorder="1" applyAlignment="1">
      <alignment horizontal="center"/>
    </xf>
    <xf numFmtId="1" fontId="9" fillId="2" borderId="56" xfId="0" applyNumberFormat="1" applyFont="1" applyFill="1" applyBorder="1" applyAlignment="1" applyProtection="1">
      <alignment vertical="top" wrapText="1"/>
      <protection locked="0"/>
    </xf>
    <xf numFmtId="1" fontId="9" fillId="2" borderId="60" xfId="0" applyNumberFormat="1" applyFont="1" applyFill="1" applyBorder="1" applyAlignment="1" applyProtection="1">
      <alignment horizontal="left"/>
      <protection locked="0"/>
    </xf>
    <xf numFmtId="1" fontId="9" fillId="2" borderId="1" xfId="0" applyNumberFormat="1" applyFont="1" applyFill="1" applyBorder="1" applyAlignment="1" applyProtection="1">
      <alignment vertical="top"/>
      <protection locked="0"/>
    </xf>
    <xf numFmtId="1" fontId="29" fillId="2" borderId="2" xfId="0" applyNumberFormat="1" applyFont="1" applyFill="1" applyBorder="1" applyAlignment="1" applyProtection="1">
      <alignment horizontal="center" vertical="center"/>
      <protection locked="0"/>
    </xf>
    <xf numFmtId="1" fontId="29" fillId="2" borderId="2" xfId="0" applyNumberFormat="1" applyFont="1" applyFill="1" applyBorder="1" applyAlignment="1" applyProtection="1">
      <alignment vertical="top"/>
      <protection locked="0"/>
    </xf>
    <xf numFmtId="1" fontId="29" fillId="2" borderId="3" xfId="0" applyNumberFormat="1" applyFont="1" applyFill="1" applyBorder="1" applyAlignment="1" applyProtection="1">
      <alignment horizontal="left" vertical="top"/>
      <protection locked="0"/>
    </xf>
    <xf numFmtId="1" fontId="4" fillId="4" borderId="49" xfId="0" applyNumberFormat="1" applyFont="1" applyFill="1" applyBorder="1"/>
    <xf numFmtId="1" fontId="4" fillId="2" borderId="3" xfId="0" applyNumberFormat="1" applyFont="1" applyFill="1" applyBorder="1"/>
    <xf numFmtId="1" fontId="4" fillId="2" borderId="61" xfId="0" applyNumberFormat="1" applyFont="1" applyFill="1" applyBorder="1" applyAlignment="1">
      <alignment horizontal="center"/>
    </xf>
    <xf numFmtId="1" fontId="30" fillId="5" borderId="8" xfId="0" applyNumberFormat="1" applyFont="1" applyFill="1" applyBorder="1" applyAlignment="1" applyProtection="1">
      <alignment horizontal="left"/>
      <protection locked="0"/>
    </xf>
    <xf numFmtId="1" fontId="21" fillId="5" borderId="43" xfId="0" applyNumberFormat="1" applyFont="1" applyFill="1" applyBorder="1" applyAlignment="1">
      <alignment horizontal="left"/>
    </xf>
    <xf numFmtId="1" fontId="30" fillId="5" borderId="62" xfId="0" applyNumberFormat="1" applyFont="1" applyFill="1" applyBorder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1" fontId="7" fillId="5" borderId="17" xfId="0" applyNumberFormat="1" applyFont="1" applyFill="1" applyBorder="1" applyAlignment="1" applyProtection="1">
      <alignment horizontal="center" vertical="center"/>
      <protection locked="0"/>
    </xf>
    <xf numFmtId="1" fontId="4" fillId="2" borderId="24" xfId="0" applyNumberFormat="1" applyFont="1" applyFill="1" applyBorder="1"/>
    <xf numFmtId="1" fontId="4" fillId="2" borderId="5" xfId="0" applyNumberFormat="1" applyFont="1" applyFill="1" applyBorder="1"/>
    <xf numFmtId="1" fontId="4" fillId="2" borderId="63" xfId="0" applyNumberFormat="1" applyFont="1" applyFill="1" applyBorder="1" applyAlignment="1">
      <alignment horizontal="center"/>
    </xf>
    <xf numFmtId="1" fontId="30" fillId="2" borderId="64" xfId="0" applyNumberFormat="1" applyFont="1" applyFill="1" applyBorder="1" applyAlignment="1" applyProtection="1">
      <alignment horizontal="left"/>
      <protection locked="0"/>
    </xf>
    <xf numFmtId="1" fontId="9" fillId="2" borderId="11" xfId="0" applyNumberFormat="1" applyFont="1" applyFill="1" applyBorder="1" applyAlignment="1" applyProtection="1">
      <alignment horizontal="center" vertical="top"/>
      <protection locked="0"/>
    </xf>
    <xf numFmtId="1" fontId="29" fillId="2" borderId="65" xfId="0" applyNumberFormat="1" applyFont="1" applyFill="1" applyBorder="1" applyAlignment="1" applyProtection="1">
      <alignment horizontal="center" vertical="center"/>
      <protection locked="0"/>
    </xf>
    <xf numFmtId="1" fontId="29" fillId="2" borderId="65" xfId="0" applyNumberFormat="1" applyFont="1" applyFill="1" applyBorder="1" applyProtection="1">
      <protection locked="0"/>
    </xf>
    <xf numFmtId="1" fontId="4" fillId="2" borderId="11" xfId="0" applyNumberFormat="1" applyFont="1" applyFill="1" applyBorder="1" applyProtection="1">
      <protection locked="0"/>
    </xf>
    <xf numFmtId="1" fontId="9" fillId="2" borderId="5" xfId="0" applyNumberFormat="1" applyFont="1" applyFill="1" applyBorder="1" applyAlignment="1" applyProtection="1">
      <alignment horizontal="left"/>
      <protection locked="0"/>
    </xf>
    <xf numFmtId="1" fontId="2" fillId="2" borderId="63" xfId="0" applyNumberFormat="1" applyFont="1" applyFill="1" applyBorder="1" applyAlignment="1" applyProtection="1">
      <alignment horizontal="center"/>
      <protection locked="0"/>
    </xf>
    <xf numFmtId="1" fontId="30" fillId="2" borderId="66" xfId="0" applyNumberFormat="1" applyFont="1" applyFill="1" applyBorder="1" applyAlignment="1" applyProtection="1">
      <alignment horizontal="left"/>
      <protection locked="0"/>
    </xf>
    <xf numFmtId="1" fontId="9" fillId="2" borderId="5" xfId="0" applyNumberFormat="1" applyFont="1" applyFill="1" applyBorder="1" applyAlignment="1" applyProtection="1">
      <alignment horizontal="center" vertical="top"/>
      <protection locked="0"/>
    </xf>
    <xf numFmtId="1" fontId="29" fillId="2" borderId="0" xfId="0" applyNumberFormat="1" applyFont="1" applyFill="1" applyProtection="1">
      <protection locked="0"/>
    </xf>
    <xf numFmtId="1" fontId="4" fillId="2" borderId="0" xfId="0" applyNumberFormat="1" applyFont="1" applyFill="1" applyProtection="1">
      <protection locked="0"/>
    </xf>
    <xf numFmtId="1" fontId="9" fillId="2" borderId="0" xfId="0" applyNumberFormat="1" applyFont="1" applyFill="1" applyAlignment="1" applyProtection="1">
      <alignment horizontal="left"/>
      <protection locked="0"/>
    </xf>
    <xf numFmtId="1" fontId="2" fillId="2" borderId="26" xfId="0" applyNumberFormat="1" applyFont="1" applyFill="1" applyBorder="1" applyAlignment="1" applyProtection="1">
      <alignment horizontal="center"/>
      <protection locked="0"/>
    </xf>
    <xf numFmtId="1" fontId="31" fillId="6" borderId="5" xfId="0" applyNumberFormat="1" applyFont="1" applyFill="1" applyBorder="1" applyAlignment="1" applyProtection="1">
      <alignment horizontal="left"/>
      <protection locked="0"/>
    </xf>
    <xf numFmtId="1" fontId="2" fillId="2" borderId="39" xfId="0" applyNumberFormat="1" applyFont="1" applyFill="1" applyBorder="1" applyAlignment="1" applyProtection="1">
      <alignment horizontal="center"/>
      <protection locked="0"/>
    </xf>
    <xf numFmtId="1" fontId="32" fillId="0" borderId="0" xfId="0" applyNumberFormat="1" applyFont="1"/>
    <xf numFmtId="0" fontId="33" fillId="4" borderId="38" xfId="0" applyFont="1" applyFill="1" applyBorder="1" applyAlignment="1">
      <alignment horizontal="center"/>
    </xf>
    <xf numFmtId="0" fontId="34" fillId="0" borderId="67" xfId="0" applyFont="1" applyBorder="1" applyAlignment="1">
      <alignment horizontal="center"/>
    </xf>
    <xf numFmtId="0" fontId="35" fillId="0" borderId="67" xfId="0" applyFont="1" applyBorder="1"/>
    <xf numFmtId="0" fontId="36" fillId="0" borderId="67" xfId="0" applyFont="1" applyBorder="1"/>
    <xf numFmtId="0" fontId="37" fillId="0" borderId="67" xfId="0" applyFont="1" applyBorder="1"/>
    <xf numFmtId="0" fontId="36" fillId="0" borderId="67" xfId="0" applyFont="1" applyBorder="1" applyAlignment="1">
      <alignment wrapText="1"/>
    </xf>
    <xf numFmtId="0" fontId="1" fillId="0" borderId="68" xfId="0" applyFont="1" applyBorder="1"/>
    <xf numFmtId="0" fontId="1" fillId="0" borderId="67" xfId="0" applyFont="1" applyBorder="1"/>
  </cellXfs>
  <cellStyles count="1">
    <cellStyle name="Normal" xfId="0" builtinId="0"/>
  </cellStyles>
  <dxfs count="48"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  <sz val="11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8" displayName="Table8" ref="B20:L4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Product Code"/>
    <tableColumn id="2" name="Product Description"/>
    <tableColumn id="3" name="Major Group"/>
    <tableColumn id="4" name="Pack Size"/>
    <tableColumn id="5" name="DB Price"/>
    <tableColumn id="6" name="Order price"/>
    <tableColumn id="7" name="Qty"/>
    <tableColumn id="8" name="Free Qty"/>
    <tableColumn id="9" name="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hakti.rao@merillife.com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64700"/>
  <sheetViews>
    <sheetView workbookViewId="0" zoomScale="100" zoomScaleNormal="100">
      <selection activeCell="H21" sqref="H21"/>
    </sheetView>
  </sheetViews>
  <sheetFormatPr defaultRowHeight="15" outlineLevelRow="0" outlineLevelCol="0" x14ac:dyDescent="0" defaultColWidth="22.85546875"/>
  <cols>
    <col min="1" max="1" width="1.5703125" style="1" customWidth="1"/>
    <col min="2" max="2" width="23.28515625" style="1" customWidth="1"/>
    <col min="3" max="3" width="30.5703125" style="1" customWidth="1"/>
    <col min="4" max="4" width="24.5703125" style="2" customWidth="1"/>
    <col min="5" max="5" width="19.5703125" style="2" customWidth="1"/>
    <col min="6" max="6" width="12.42578125" style="1" customWidth="1"/>
    <col min="7" max="7" width="11" style="1" customWidth="1"/>
    <col min="8" max="8" width="16.28515625" style="1" customWidth="1"/>
    <col min="9" max="9" width="21" style="1" customWidth="1"/>
    <col min="10" max="10" width="15.28515625" style="3" customWidth="1"/>
    <col min="11" max="11" width="31.7109375" style="1" customWidth="1"/>
    <col min="12" max="16384" width="22.85546875" style="1" customWidth="1"/>
  </cols>
  <sheetData>
    <row r="1" ht="20.25" customHeight="1" spans="2:10" x14ac:dyDescent="0.25">
      <c r="B1" s="4"/>
      <c r="C1" s="5" t="s">
        <v>0</v>
      </c>
      <c r="D1" s="5"/>
      <c r="E1" s="5"/>
      <c r="F1" s="5"/>
      <c r="G1" s="5"/>
      <c r="H1" s="6" t="s">
        <v>1</v>
      </c>
      <c r="I1" s="6"/>
      <c r="J1" s="7"/>
    </row>
    <row r="2" ht="20.25" customHeight="1" spans="2:10" x14ac:dyDescent="0.25">
      <c r="B2" s="8"/>
      <c r="C2" s="9"/>
      <c r="D2" s="9"/>
      <c r="E2" s="9"/>
      <c r="F2" s="9"/>
      <c r="G2" s="9"/>
      <c r="H2" s="10" t="s">
        <v>2</v>
      </c>
      <c r="I2" s="11"/>
      <c r="J2" s="12"/>
    </row>
    <row r="3" ht="20.25" customHeight="1" spans="2:10" x14ac:dyDescent="0.25">
      <c r="B3" s="13"/>
      <c r="C3" s="14"/>
      <c r="D3" s="15"/>
      <c r="E3" s="16"/>
      <c r="F3" s="17"/>
      <c r="G3" s="18"/>
      <c r="H3" s="10" t="s">
        <v>3</v>
      </c>
      <c r="I3" s="11"/>
      <c r="J3" s="12"/>
    </row>
    <row r="4" ht="15.75" customHeight="1" spans="2:10" x14ac:dyDescent="0.25">
      <c r="B4" s="19" t="s">
        <v>4</v>
      </c>
      <c r="C4" s="20"/>
      <c r="D4" s="21"/>
      <c r="E4" s="16"/>
      <c r="F4" s="17"/>
      <c r="G4" s="18"/>
      <c r="H4" s="22"/>
      <c r="I4" s="22"/>
      <c r="J4" s="12"/>
    </row>
    <row r="5" ht="14.1" customHeight="1" spans="2:10" x14ac:dyDescent="0.25">
      <c r="B5" s="23" t="s">
        <v>5</v>
      </c>
      <c r="C5" s="24"/>
      <c r="D5" s="25"/>
      <c r="E5" s="26" t="s">
        <v>6</v>
      </c>
      <c r="F5" s="26" t="s">
        <v>7</v>
      </c>
      <c r="G5" s="26" t="s">
        <v>8</v>
      </c>
      <c r="H5" s="26" t="s">
        <v>9</v>
      </c>
      <c r="I5" s="27" t="s">
        <v>10</v>
      </c>
      <c r="J5" s="12"/>
    </row>
    <row r="6" ht="14.1" customHeight="1" spans="2:10" x14ac:dyDescent="0.25">
      <c r="B6" s="23" t="s">
        <v>11</v>
      </c>
      <c r="C6" s="24"/>
      <c r="D6" s="28" t="s">
        <v>12</v>
      </c>
      <c r="E6" s="29"/>
      <c r="F6" s="30"/>
      <c r="G6" s="30"/>
      <c r="H6" s="30"/>
      <c r="I6" s="30"/>
      <c r="J6" s="31"/>
    </row>
    <row r="7" ht="14.1" customHeight="1" spans="2:10" x14ac:dyDescent="0.25">
      <c r="B7" s="23" t="s">
        <v>13</v>
      </c>
      <c r="C7" s="24"/>
      <c r="D7" s="21"/>
      <c r="E7" s="16"/>
      <c r="F7" s="17"/>
      <c r="G7" s="18"/>
      <c r="H7" s="22"/>
      <c r="I7" s="22"/>
      <c r="J7" s="31"/>
    </row>
    <row r="8" ht="14.1" customHeight="1" spans="2:10" x14ac:dyDescent="0.25">
      <c r="B8" s="23"/>
      <c r="C8" s="24"/>
      <c r="D8" s="32"/>
      <c r="E8" s="33"/>
      <c r="F8" s="34"/>
      <c r="G8" s="35"/>
      <c r="H8" s="35"/>
      <c r="I8" s="35"/>
      <c r="J8" s="31"/>
    </row>
    <row r="9" ht="2.25" customHeight="1" spans="2:10" x14ac:dyDescent="0.25">
      <c r="B9" s="8"/>
      <c r="C9" s="18"/>
      <c r="D9" s="15"/>
      <c r="E9" s="15"/>
      <c r="F9" s="18"/>
      <c r="G9" s="18"/>
      <c r="H9" s="18"/>
      <c r="I9" s="18"/>
      <c r="J9" s="31"/>
    </row>
    <row r="10" ht="15.75" customHeight="1" spans="2:10" x14ac:dyDescent="0.25">
      <c r="B10" s="36" t="s">
        <v>14</v>
      </c>
      <c r="C10" s="37"/>
      <c r="D10" s="38"/>
      <c r="E10" s="39" t="s">
        <v>15</v>
      </c>
      <c r="F10" s="40"/>
      <c r="G10" s="40"/>
      <c r="H10" s="40"/>
      <c r="I10" s="40"/>
      <c r="J10" s="41"/>
    </row>
    <row r="11" ht="15" customHeight="1" spans="2:10" x14ac:dyDescent="0.25">
      <c r="B11" s="42"/>
      <c r="C11" s="43"/>
      <c r="D11" s="44"/>
      <c r="E11" s="45"/>
      <c r="F11" s="46"/>
      <c r="G11" s="46"/>
      <c r="H11" s="46"/>
      <c r="I11" s="46"/>
      <c r="J11" s="47"/>
    </row>
    <row r="12" ht="22.5" customHeight="1" spans="2:10" x14ac:dyDescent="0.25">
      <c r="B12" s="48"/>
      <c r="C12" s="49"/>
      <c r="D12" s="50"/>
      <c r="E12" s="51"/>
      <c r="F12" s="52"/>
      <c r="G12" s="52"/>
      <c r="H12" s="52"/>
      <c r="I12" s="52"/>
      <c r="J12" s="53"/>
    </row>
    <row r="13" ht="31.5" customHeight="1" spans="2:10" x14ac:dyDescent="0.25">
      <c r="B13" s="54" t="s">
        <v>16</v>
      </c>
      <c r="C13" s="55"/>
      <c r="D13" s="56"/>
      <c r="E13" s="57"/>
      <c r="F13" s="58"/>
      <c r="G13" s="58"/>
      <c r="H13" s="58"/>
      <c r="I13" s="58"/>
      <c r="J13" s="59"/>
    </row>
    <row r="14" ht="13.5" customHeight="1" spans="2:10" x14ac:dyDescent="0.25">
      <c r="B14" s="60"/>
      <c r="C14" s="61"/>
      <c r="D14" s="62"/>
      <c r="E14" s="63" t="s">
        <v>17</v>
      </c>
      <c r="F14" s="64"/>
      <c r="G14" s="64"/>
      <c r="H14" s="64"/>
      <c r="I14" s="64"/>
      <c r="J14" s="65"/>
    </row>
    <row r="15" ht="15.75" customHeight="1" spans="2:10" x14ac:dyDescent="0.25">
      <c r="B15" s="66"/>
      <c r="C15" s="66"/>
      <c r="D15" s="67"/>
      <c r="E15" s="66" t="s">
        <v>18</v>
      </c>
      <c r="F15" s="68" t="s">
        <v>19</v>
      </c>
      <c r="G15" s="68"/>
      <c r="H15" s="68"/>
      <c r="I15" s="68" t="s">
        <v>20</v>
      </c>
      <c r="J15" s="68"/>
    </row>
    <row r="16" ht="15.75" customHeight="1" spans="2:10" x14ac:dyDescent="0.25">
      <c r="B16" s="69" t="s">
        <v>21</v>
      </c>
      <c r="C16" s="70"/>
      <c r="D16" s="71"/>
      <c r="E16" s="72" t="s">
        <v>22</v>
      </c>
      <c r="F16" s="72"/>
      <c r="G16" s="73" t="s">
        <v>16</v>
      </c>
      <c r="H16" s="74"/>
      <c r="I16" s="74"/>
      <c r="J16" s="74"/>
    </row>
    <row r="17" spans="2:10" x14ac:dyDescent="0.25">
      <c r="B17" s="75" t="s">
        <v>23</v>
      </c>
      <c r="C17" s="76"/>
      <c r="D17" s="77"/>
      <c r="E17" s="72" t="s">
        <v>24</v>
      </c>
      <c r="F17" s="72"/>
      <c r="G17" s="78" t="s">
        <v>16</v>
      </c>
      <c r="H17" s="74"/>
      <c r="I17" s="74"/>
      <c r="J17" s="74"/>
    </row>
    <row r="18" spans="2:10" s="79" customFormat="1" x14ac:dyDescent="0.25">
      <c r="B18" s="80" t="s">
        <v>25</v>
      </c>
      <c r="C18" s="81"/>
      <c r="D18" s="82"/>
      <c r="E18" s="83" t="s">
        <v>26</v>
      </c>
      <c r="F18" s="83"/>
      <c r="G18" s="84" t="s">
        <v>16</v>
      </c>
      <c r="H18" s="85"/>
      <c r="I18" s="86"/>
      <c r="J18" s="86"/>
    </row>
    <row r="19" spans="2:10" x14ac:dyDescent="0.25">
      <c r="B19" s="87" t="s">
        <v>27</v>
      </c>
      <c r="C19" s="88"/>
      <c r="D19" s="89"/>
      <c r="E19" s="90" t="s">
        <v>28</v>
      </c>
      <c r="F19" s="90"/>
      <c r="G19" s="74"/>
      <c r="H19" s="74"/>
      <c r="I19" s="74"/>
      <c r="J19" s="74"/>
    </row>
    <row r="20" ht="15.75" customHeight="1" spans="2:12" x14ac:dyDescent="0.25">
      <c r="B20" s="91" t="s">
        <v>29</v>
      </c>
      <c r="C20" s="92" t="s">
        <v>30</v>
      </c>
      <c r="D20" s="93" t="s">
        <v>31</v>
      </c>
      <c r="E20" s="94" t="s">
        <v>32</v>
      </c>
      <c r="F20" s="94" t="s">
        <v>33</v>
      </c>
      <c r="G20" s="95" t="s">
        <v>34</v>
      </c>
      <c r="H20" s="95" t="s">
        <v>35</v>
      </c>
      <c r="I20" s="94" t="s">
        <v>36</v>
      </c>
      <c r="J20" s="96" t="s">
        <v>37</v>
      </c>
      <c r="K20" s="97" t="s">
        <v>38</v>
      </c>
      <c r="L20" s="1" t="s">
        <v>39</v>
      </c>
    </row>
    <row r="21" ht="15.75" customHeight="1" spans="2:11" x14ac:dyDescent="0.25">
      <c r="B21" s="98"/>
      <c r="C21" s="99"/>
      <c r="D21" s="100"/>
      <c r="E21" s="101"/>
      <c r="F21" s="102"/>
      <c r="G21" s="100"/>
      <c r="H21" s="103"/>
      <c r="I21" s="104"/>
      <c r="J21" s="102">
        <f>Table8[[#This Row],[Qty]]*Table8[[#This Row],[Order price]]</f>
        <v>13389292.8</v>
      </c>
      <c r="K21" s="104"/>
    </row>
    <row r="22" ht="76.5" customHeight="1" spans="2:11" x14ac:dyDescent="0.25">
      <c r="B22" s="105"/>
      <c r="C22" s="100"/>
      <c r="D22" s="100"/>
      <c r="E22" s="100"/>
      <c r="F22" s="102"/>
      <c r="G22" s="102"/>
      <c r="H22" s="102"/>
      <c r="I22" s="102"/>
      <c r="J22" s="102">
        <f>Table8[[#This Row],[Qty]]*Table8[[#This Row],[Order price]]</f>
        <v>0</v>
      </c>
      <c r="K22" s="102"/>
    </row>
    <row r="23" ht="12.95" customHeight="1" spans="2:11" x14ac:dyDescent="0.25">
      <c r="B23" s="106"/>
      <c r="C23" s="107"/>
      <c r="D23" s="108"/>
      <c r="E23" s="107"/>
      <c r="F23" s="102"/>
      <c r="G23" s="102"/>
      <c r="H23" s="102"/>
      <c r="I23" s="102"/>
      <c r="J23" s="102">
        <f>Table8[[#This Row],[Qty]]*Table8[[#This Row],[Order price]]</f>
        <v>0</v>
      </c>
      <c r="K23" s="104"/>
    </row>
    <row r="24" spans="2:11" x14ac:dyDescent="0.25">
      <c r="B24" s="107"/>
      <c r="C24" s="107"/>
      <c r="D24" s="108"/>
      <c r="E24" s="107"/>
      <c r="F24" s="102"/>
      <c r="G24" s="102"/>
      <c r="H24" s="102"/>
      <c r="I24" s="102"/>
      <c r="J24" s="102">
        <f>Table8[[#This Row],[Qty]]*Table8[[#This Row],[Order price]]</f>
        <v>0</v>
      </c>
      <c r="K24" s="102"/>
    </row>
    <row r="25" spans="2:11" x14ac:dyDescent="0.25">
      <c r="B25" s="107"/>
      <c r="C25" s="107"/>
      <c r="D25" s="108"/>
      <c r="E25" s="107"/>
      <c r="F25" s="102"/>
      <c r="G25" s="102"/>
      <c r="H25" s="102"/>
      <c r="I25" s="102"/>
      <c r="J25" s="102">
        <f>Table8[[#This Row],[Qty]]*Table8[[#This Row],[Order price]]</f>
        <v>0</v>
      </c>
      <c r="K25" s="102"/>
    </row>
    <row r="26" ht="18.95" customHeight="1" spans="2:11" x14ac:dyDescent="0.25">
      <c r="B26" s="107"/>
      <c r="C26" s="107"/>
      <c r="D26" s="108"/>
      <c r="E26" s="107"/>
      <c r="F26" s="102"/>
      <c r="G26" s="102"/>
      <c r="H26" s="102"/>
      <c r="I26" s="102"/>
      <c r="J26" s="102">
        <f>Table8[[#This Row],[Qty]]*Table8[[#This Row],[Order price]]</f>
        <v>0</v>
      </c>
      <c r="K26" s="102"/>
    </row>
    <row r="27" spans="2:11" x14ac:dyDescent="0.25">
      <c r="B27" s="107"/>
      <c r="C27" s="109"/>
      <c r="D27" s="108"/>
      <c r="E27" s="109"/>
      <c r="F27" s="102"/>
      <c r="G27" s="102"/>
      <c r="H27" s="102"/>
      <c r="I27" s="102"/>
      <c r="J27" s="102">
        <f>Table8[[#This Row],[Qty]]*Table8[[#This Row],[Order price]]</f>
        <v>0</v>
      </c>
      <c r="K27" s="102"/>
    </row>
    <row r="28" spans="2:11" x14ac:dyDescent="0.25">
      <c r="B28" s="110"/>
      <c r="C28" s="109"/>
      <c r="D28" s="108"/>
      <c r="E28" s="109"/>
      <c r="F28" s="102"/>
      <c r="G28" s="102"/>
      <c r="H28" s="102"/>
      <c r="I28" s="102"/>
      <c r="J28" s="102">
        <f>Table8[[#This Row],[Qty]]*Table8[[#This Row],[Order price]]</f>
        <v>0</v>
      </c>
      <c r="K28" s="102"/>
    </row>
    <row r="29" spans="2:11" x14ac:dyDescent="0.25">
      <c r="B29" s="110"/>
      <c r="C29" s="109"/>
      <c r="D29" s="108"/>
      <c r="E29" s="109"/>
      <c r="F29" s="102"/>
      <c r="G29" s="102"/>
      <c r="H29" s="102"/>
      <c r="I29" s="102"/>
      <c r="J29" s="102">
        <f>Table8[[#This Row],[Qty]]*Table8[[#This Row],[Order price]]</f>
        <v>0</v>
      </c>
      <c r="K29" s="102"/>
    </row>
    <row r="30" spans="2:11" x14ac:dyDescent="0.25">
      <c r="B30" s="109"/>
      <c r="C30" s="109"/>
      <c r="D30" s="108"/>
      <c r="E30" s="109"/>
      <c r="F30" s="102"/>
      <c r="G30" s="102"/>
      <c r="H30" s="102"/>
      <c r="I30" s="102"/>
      <c r="J30" s="102">
        <f>Table8[[#This Row],[Qty]]*Table8[[#This Row],[Order price]]</f>
        <v>0</v>
      </c>
      <c r="K30" s="102"/>
    </row>
    <row r="31" spans="2:11" x14ac:dyDescent="0.25">
      <c r="B31" s="107"/>
      <c r="C31" s="109"/>
      <c r="D31" s="108"/>
      <c r="E31" s="109"/>
      <c r="F31" s="102"/>
      <c r="G31" s="102"/>
      <c r="H31" s="102"/>
      <c r="I31" s="102"/>
      <c r="J31" s="102">
        <f>Table8[[#This Row],[Qty]]*Table8[[#This Row],[Order price]]</f>
        <v>0</v>
      </c>
      <c r="K31" s="102"/>
    </row>
    <row r="32" spans="2:11" x14ac:dyDescent="0.25">
      <c r="B32" s="107"/>
      <c r="C32" s="109"/>
      <c r="D32" s="108"/>
      <c r="E32" s="109"/>
      <c r="F32" s="102"/>
      <c r="G32" s="102"/>
      <c r="H32" s="102"/>
      <c r="I32" s="102"/>
      <c r="J32" s="102">
        <f>Table8[[#This Row],[Qty]]*Table8[[#This Row],[Order price]]</f>
        <v>0</v>
      </c>
      <c r="K32" s="102"/>
    </row>
    <row r="33" ht="14.65" customHeight="1" spans="2:11" x14ac:dyDescent="0.25">
      <c r="B33" s="107"/>
      <c r="C33" s="107"/>
      <c r="D33" s="100"/>
      <c r="E33" s="107"/>
      <c r="F33" s="102"/>
      <c r="G33" s="102"/>
      <c r="H33" s="102"/>
      <c r="I33" s="102"/>
      <c r="J33" s="102">
        <f>Table8[[#This Row],[Qty]]*Table8[[#This Row],[Order price]]</f>
        <v>0</v>
      </c>
      <c r="K33" s="102"/>
    </row>
    <row r="34" spans="2:11" x14ac:dyDescent="0.25">
      <c r="B34" s="111"/>
      <c r="C34" s="111"/>
      <c r="D34" s="100"/>
      <c r="E34" s="111"/>
      <c r="F34" s="102"/>
      <c r="G34" s="102"/>
      <c r="H34" s="102"/>
      <c r="I34" s="102"/>
      <c r="J34" s="102">
        <f>Table8[[#This Row],[Qty]]*Table8[[#This Row],[Order price]]</f>
        <v>0</v>
      </c>
      <c r="K34" s="102"/>
    </row>
    <row r="35" spans="2:11" x14ac:dyDescent="0.25">
      <c r="B35" s="111"/>
      <c r="C35" s="111"/>
      <c r="D35" s="100"/>
      <c r="E35" s="111"/>
      <c r="F35" s="102"/>
      <c r="G35" s="102"/>
      <c r="H35" s="102"/>
      <c r="I35" s="102"/>
      <c r="J35" s="102">
        <f>Table8[[#This Row],[Qty]]*Table8[[#This Row],[Order price]]</f>
        <v>0</v>
      </c>
      <c r="K35" s="102"/>
    </row>
    <row r="36" spans="2:11" x14ac:dyDescent="0.25">
      <c r="B36" s="111"/>
      <c r="C36" s="111"/>
      <c r="D36" s="100"/>
      <c r="E36" s="111"/>
      <c r="F36" s="102"/>
      <c r="G36" s="102"/>
      <c r="H36" s="102"/>
      <c r="I36" s="102"/>
      <c r="J36" s="102">
        <f>Table8[[#This Row],[Qty]]*Table8[[#This Row],[Order price]]</f>
        <v>0</v>
      </c>
      <c r="K36" s="102"/>
    </row>
    <row r="37" spans="2:11" x14ac:dyDescent="0.25">
      <c r="B37" s="111"/>
      <c r="C37" s="111"/>
      <c r="D37" s="100"/>
      <c r="E37" s="111"/>
      <c r="F37" s="102"/>
      <c r="G37" s="102"/>
      <c r="H37" s="102"/>
      <c r="I37" s="102"/>
      <c r="J37" s="102">
        <f>Table8[[#This Row],[Qty]]*Table8[[#This Row],[Order price]]</f>
        <v>0</v>
      </c>
      <c r="K37" s="102"/>
    </row>
    <row r="38" spans="2:12" x14ac:dyDescent="0.25">
      <c r="B38" s="112"/>
      <c r="C38" s="111"/>
      <c r="D38" s="113"/>
      <c r="E38" s="111"/>
      <c r="F38" s="114"/>
      <c r="G38" s="114"/>
      <c r="H38" s="102"/>
      <c r="I38" s="115"/>
      <c r="J38" s="116">
        <f>Table8[[#This Row],[Qty]]*Table8[[#This Row],[Order price]]</f>
        <v>0</v>
      </c>
      <c r="K38" s="117"/>
      <c r="L38" s="1"/>
    </row>
    <row r="39" spans="2:12" x14ac:dyDescent="0.25">
      <c r="B39" s="112"/>
      <c r="C39" s="111"/>
      <c r="D39" s="113"/>
      <c r="E39" s="111"/>
      <c r="F39" s="114"/>
      <c r="G39" s="114"/>
      <c r="H39" s="102"/>
      <c r="I39" s="115"/>
      <c r="J39" s="116">
        <f>Table8[[#This Row],[Qty]]*Table8[[#This Row],[Order price]]</f>
        <v>0</v>
      </c>
      <c r="K39" s="117"/>
      <c r="L39" s="1"/>
    </row>
    <row r="40" spans="2:12" x14ac:dyDescent="0.25">
      <c r="B40" s="112"/>
      <c r="C40" s="111"/>
      <c r="D40" s="113"/>
      <c r="E40" s="111"/>
      <c r="F40" s="114"/>
      <c r="G40" s="114"/>
      <c r="H40" s="102"/>
      <c r="I40" s="115"/>
      <c r="J40" s="116">
        <f>Table8[[#This Row],[Qty]]*Table8[[#This Row],[Order price]]</f>
        <v>0</v>
      </c>
      <c r="K40" s="117"/>
      <c r="L40" s="1"/>
    </row>
    <row r="41" spans="2:12" x14ac:dyDescent="0.25">
      <c r="B41" s="112"/>
      <c r="C41" s="111"/>
      <c r="D41" s="113"/>
      <c r="E41" s="111"/>
      <c r="F41" s="114"/>
      <c r="G41" s="114"/>
      <c r="H41" s="102"/>
      <c r="I41" s="115"/>
      <c r="J41" s="116">
        <f>Table8[[#This Row],[Qty]]*Table8[[#This Row],[Order price]]</f>
        <v>0</v>
      </c>
      <c r="K41" s="117"/>
      <c r="L41" s="1"/>
    </row>
    <row r="42" spans="2:12" x14ac:dyDescent="0.25">
      <c r="B42" s="112"/>
      <c r="C42" s="111"/>
      <c r="D42" s="113"/>
      <c r="E42" s="111"/>
      <c r="F42" s="114"/>
      <c r="G42" s="114"/>
      <c r="H42" s="102"/>
      <c r="I42" s="115"/>
      <c r="J42" s="116">
        <f>Table8[[#This Row],[Qty]]*Table8[[#This Row],[Order price]]</f>
        <v>0</v>
      </c>
      <c r="K42" s="117"/>
      <c r="L42" s="1"/>
    </row>
    <row r="43" spans="2:12" x14ac:dyDescent="0.25">
      <c r="B43" s="112"/>
      <c r="C43" s="111"/>
      <c r="D43" s="113"/>
      <c r="E43" s="111"/>
      <c r="F43" s="114"/>
      <c r="G43" s="114"/>
      <c r="H43" s="102"/>
      <c r="I43" s="115"/>
      <c r="J43" s="116">
        <f>Table8[[#This Row],[Qty]]*Table8[[#This Row],[Order price]]</f>
        <v>0</v>
      </c>
      <c r="K43" s="117"/>
      <c r="L43" s="1"/>
    </row>
    <row r="44" spans="2:12" x14ac:dyDescent="0.25">
      <c r="B44" s="112"/>
      <c r="C44" s="111"/>
      <c r="D44" s="113"/>
      <c r="E44" s="111"/>
      <c r="F44" s="114"/>
      <c r="G44" s="114"/>
      <c r="H44" s="102"/>
      <c r="I44" s="115"/>
      <c r="J44" s="116">
        <f>Table8[[#This Row],[Qty]]*Table8[[#This Row],[Order price]]</f>
        <v>0</v>
      </c>
      <c r="K44" s="117"/>
      <c r="L44" s="1"/>
    </row>
    <row r="45" spans="2:12" x14ac:dyDescent="0.25">
      <c r="B45" s="111"/>
      <c r="C45" s="111"/>
      <c r="D45" s="118"/>
      <c r="E45" s="111"/>
      <c r="F45" s="119"/>
      <c r="G45" s="119"/>
      <c r="H45" s="102"/>
      <c r="I45" s="120"/>
      <c r="J45" s="121">
        <f>Table8[[#This Row],[Qty]]*Table8[[#This Row],[Order price]]</f>
        <v>0</v>
      </c>
      <c r="K45" s="117"/>
      <c r="L45" s="1"/>
    </row>
    <row r="46" spans="2:12" x14ac:dyDescent="0.25">
      <c r="B46" s="112"/>
      <c r="C46" s="111"/>
      <c r="D46" s="113"/>
      <c r="E46" s="111"/>
      <c r="F46" s="114"/>
      <c r="G46" s="114"/>
      <c r="H46" s="102"/>
      <c r="I46" s="115"/>
      <c r="J46" s="116">
        <f>Table8[[#This Row],[Qty]]*Table8[[#This Row],[Order price]]</f>
        <v>0</v>
      </c>
      <c r="K46" s="117"/>
      <c r="L46" s="1"/>
    </row>
    <row r="47" spans="2:10" x14ac:dyDescent="0.25">
      <c r="B47" s="122" t="s">
        <v>40</v>
      </c>
      <c r="C47" s="123"/>
      <c r="D47" s="124"/>
      <c r="E47" s="125" t="s">
        <v>41</v>
      </c>
      <c r="F47" s="126"/>
      <c r="G47" s="127"/>
      <c r="H47" s="128"/>
      <c r="I47" s="128"/>
      <c r="J47" s="129">
        <f>SUM(J21:J46)</f>
        <v>13389292.8</v>
      </c>
    </row>
    <row r="48" spans="2:10" x14ac:dyDescent="0.25">
      <c r="B48" s="130"/>
      <c r="C48" s="131"/>
      <c r="D48" s="132"/>
      <c r="E48" s="132"/>
      <c r="F48" s="133"/>
      <c r="G48" s="133"/>
      <c r="H48" s="134"/>
      <c r="I48" s="134"/>
      <c r="J48" s="135"/>
    </row>
    <row r="49" spans="2:10" x14ac:dyDescent="0.25">
      <c r="B49" s="136" t="s">
        <v>42</v>
      </c>
      <c r="C49" s="137"/>
      <c r="D49" s="138"/>
      <c r="E49" s="138"/>
      <c r="F49" s="139"/>
      <c r="G49" s="140"/>
      <c r="H49" s="141" t="s">
        <v>43</v>
      </c>
      <c r="I49" s="142"/>
      <c r="J49" s="143">
        <f>J47*5%</f>
        <v>669464.6400000001</v>
      </c>
    </row>
    <row r="50" spans="2:10" x14ac:dyDescent="0.25">
      <c r="B50" s="144" t="s">
        <v>44</v>
      </c>
      <c r="C50" s="145"/>
      <c r="D50" s="146"/>
      <c r="E50" s="146"/>
      <c r="F50" s="147"/>
      <c r="G50" s="148"/>
      <c r="H50" s="18" t="s">
        <v>45</v>
      </c>
      <c r="I50" s="18"/>
      <c r="J50" s="149"/>
    </row>
    <row r="51" spans="2:10" x14ac:dyDescent="0.25">
      <c r="B51" s="150" t="s">
        <v>46</v>
      </c>
      <c r="C51" s="145"/>
      <c r="D51" s="146"/>
      <c r="E51" s="146"/>
      <c r="F51" s="147"/>
      <c r="G51" s="148"/>
      <c r="H51" s="18" t="s">
        <v>47</v>
      </c>
      <c r="I51" s="18"/>
      <c r="J51" s="149"/>
    </row>
    <row r="52" spans="2:10" x14ac:dyDescent="0.25">
      <c r="B52" s="144" t="s">
        <v>48</v>
      </c>
      <c r="C52" s="145"/>
      <c r="D52" s="146"/>
      <c r="E52" s="146"/>
      <c r="F52" s="147"/>
      <c r="G52" s="148"/>
      <c r="H52" s="18" t="s">
        <v>49</v>
      </c>
      <c r="I52" s="18"/>
      <c r="J52" s="149"/>
    </row>
    <row r="53" spans="2:10" x14ac:dyDescent="0.25">
      <c r="B53" s="151" t="s">
        <v>50</v>
      </c>
      <c r="C53" s="152"/>
      <c r="D53" s="153"/>
      <c r="E53" s="153"/>
      <c r="F53" s="154"/>
      <c r="G53" s="155"/>
      <c r="H53" s="156" t="s">
        <v>51</v>
      </c>
      <c r="I53" s="157"/>
      <c r="J53" s="158">
        <f>J47+J49+J50+J51+J52</f>
        <v>14058757.440000001</v>
      </c>
    </row>
    <row r="54" ht="15.75" customHeight="1" spans="2:10" x14ac:dyDescent="0.25">
      <c r="B54" s="159" t="s">
        <v>52</v>
      </c>
      <c r="C54" s="160"/>
      <c r="D54" s="161" t="s">
        <v>53</v>
      </c>
      <c r="E54" s="161" t="s">
        <v>54</v>
      </c>
      <c r="F54" s="162"/>
      <c r="G54" s="163"/>
      <c r="H54" s="164"/>
      <c r="I54" s="165"/>
      <c r="J54" s="166"/>
    </row>
    <row r="55" ht="15.75" customHeight="1" spans="2:10" x14ac:dyDescent="0.25">
      <c r="B55" s="167" t="s">
        <v>55</v>
      </c>
      <c r="C55" s="168" t="s">
        <v>16</v>
      </c>
      <c r="D55" s="168"/>
      <c r="E55" s="169"/>
      <c r="F55" s="170"/>
      <c r="G55" s="171"/>
      <c r="H55" s="172"/>
      <c r="I55" s="172"/>
      <c r="J55" s="173"/>
    </row>
    <row r="56" ht="15.75" customHeight="1" spans="2:10" x14ac:dyDescent="0.25">
      <c r="B56" s="174" t="s">
        <v>56</v>
      </c>
      <c r="C56" s="175"/>
      <c r="D56" s="175"/>
      <c r="E56" s="132"/>
      <c r="F56" s="176"/>
      <c r="G56" s="177"/>
      <c r="H56" s="178"/>
      <c r="I56" s="178"/>
      <c r="J56" s="179"/>
    </row>
    <row r="57" ht="15.75" customHeight="1" spans="2:10" x14ac:dyDescent="0.25">
      <c r="B57" s="180" t="s">
        <v>57</v>
      </c>
      <c r="C57" s="180"/>
      <c r="D57" s="180"/>
      <c r="E57" s="180"/>
      <c r="F57" s="180"/>
      <c r="G57" s="180"/>
      <c r="H57" s="180"/>
      <c r="I57" s="180"/>
      <c r="J57" s="181"/>
    </row>
    <row r="64351" spans="2:2" x14ac:dyDescent="0.25">
      <c r="B64351" s="182"/>
    </row>
    <row r="64352" spans="2:2" x14ac:dyDescent="0.25">
      <c r="B64352" s="182"/>
    </row>
    <row r="64353" spans="2:2" x14ac:dyDescent="0.25">
      <c r="B64353" s="182"/>
    </row>
    <row r="64354" spans="2:2" x14ac:dyDescent="0.25">
      <c r="B64354" s="182"/>
    </row>
    <row r="64355" spans="2:2" x14ac:dyDescent="0.25">
      <c r="B64355" s="182"/>
    </row>
    <row r="64356" spans="2:2" x14ac:dyDescent="0.25">
      <c r="B64356" s="182"/>
    </row>
    <row r="64357" spans="2:2" x14ac:dyDescent="0.25">
      <c r="B64357" s="182"/>
    </row>
    <row r="64358" spans="2:2" x14ac:dyDescent="0.25">
      <c r="B64358" s="182"/>
    </row>
    <row r="64359" spans="2:2" x14ac:dyDescent="0.25">
      <c r="B64359" s="182"/>
    </row>
    <row r="64360" spans="2:2" x14ac:dyDescent="0.25">
      <c r="B64360" s="182"/>
    </row>
    <row r="64361" spans="2:2" x14ac:dyDescent="0.25">
      <c r="B64361" s="182"/>
    </row>
    <row r="64362" spans="2:2" x14ac:dyDescent="0.25">
      <c r="B64362" s="182"/>
    </row>
    <row r="64363" spans="2:2" x14ac:dyDescent="0.25">
      <c r="B64363" s="182"/>
    </row>
    <row r="64364" spans="2:2" x14ac:dyDescent="0.25">
      <c r="B64364" s="182"/>
    </row>
    <row r="64365" spans="2:2" x14ac:dyDescent="0.25">
      <c r="B64365" s="182"/>
    </row>
    <row r="64366" spans="2:2" x14ac:dyDescent="0.25">
      <c r="B64366" s="182"/>
    </row>
    <row r="64367" spans="2:2" x14ac:dyDescent="0.25">
      <c r="B64367" s="182"/>
    </row>
    <row r="64368" spans="2:2" x14ac:dyDescent="0.25">
      <c r="B64368" s="182"/>
    </row>
    <row r="64369" spans="2:2" x14ac:dyDescent="0.25">
      <c r="B64369" s="182"/>
    </row>
    <row r="64370" spans="2:2" x14ac:dyDescent="0.25">
      <c r="B64370" s="182"/>
    </row>
    <row r="64371" spans="2:2" x14ac:dyDescent="0.25">
      <c r="B64371" s="182"/>
    </row>
    <row r="64372" spans="2:2" x14ac:dyDescent="0.25">
      <c r="B64372" s="182"/>
    </row>
    <row r="64373" spans="2:2" x14ac:dyDescent="0.25">
      <c r="B64373" s="182"/>
    </row>
    <row r="64374" spans="2:2" x14ac:dyDescent="0.25">
      <c r="B64374" s="182"/>
    </row>
    <row r="64375" spans="2:2" x14ac:dyDescent="0.25">
      <c r="B64375" s="182"/>
    </row>
    <row r="64376" spans="2:2" x14ac:dyDescent="0.25">
      <c r="B64376" s="182"/>
    </row>
    <row r="64377" spans="2:2" x14ac:dyDescent="0.25">
      <c r="B64377" s="182"/>
    </row>
    <row r="64378" spans="2:2" x14ac:dyDescent="0.25">
      <c r="B64378" s="182"/>
    </row>
    <row r="64379" spans="2:2" x14ac:dyDescent="0.25">
      <c r="B64379" s="182"/>
    </row>
    <row r="64380" spans="2:2" x14ac:dyDescent="0.25">
      <c r="B64380" s="182"/>
    </row>
    <row r="64381" spans="2:2" x14ac:dyDescent="0.25">
      <c r="B64381" s="182"/>
    </row>
    <row r="64382" spans="2:2" x14ac:dyDescent="0.25">
      <c r="B64382" s="182"/>
    </row>
    <row r="64383" spans="2:2" x14ac:dyDescent="0.25">
      <c r="B64383" s="182"/>
    </row>
    <row r="64384" spans="2:2" x14ac:dyDescent="0.25">
      <c r="B64384" s="182"/>
    </row>
    <row r="64385" spans="2:2" x14ac:dyDescent="0.25">
      <c r="B64385" s="182"/>
    </row>
    <row r="64386" spans="2:2" x14ac:dyDescent="0.25">
      <c r="B64386" s="182"/>
    </row>
    <row r="64387" spans="2:2" x14ac:dyDescent="0.25">
      <c r="B64387" s="182"/>
    </row>
    <row r="64388" spans="2:2" x14ac:dyDescent="0.25">
      <c r="B64388" s="182"/>
    </row>
    <row r="64389" spans="2:2" x14ac:dyDescent="0.25">
      <c r="B64389" s="182"/>
    </row>
    <row r="64390" spans="2:2" x14ac:dyDescent="0.25">
      <c r="B64390" s="182"/>
    </row>
    <row r="64391" spans="2:2" x14ac:dyDescent="0.25">
      <c r="B64391" s="182"/>
    </row>
    <row r="64392" spans="2:2" x14ac:dyDescent="0.25">
      <c r="B64392" s="182"/>
    </row>
    <row r="64393" spans="2:2" x14ac:dyDescent="0.25">
      <c r="B64393" s="182"/>
    </row>
    <row r="64394" spans="2:2" x14ac:dyDescent="0.25">
      <c r="B64394" s="182"/>
    </row>
    <row r="64395" spans="2:2" x14ac:dyDescent="0.25">
      <c r="B64395" s="182"/>
    </row>
    <row r="64396" spans="2:2" x14ac:dyDescent="0.25">
      <c r="B64396" s="182"/>
    </row>
    <row r="64397" spans="2:2" x14ac:dyDescent="0.25">
      <c r="B64397" s="182"/>
    </row>
    <row r="64398" spans="2:2" x14ac:dyDescent="0.25">
      <c r="B64398" s="182"/>
    </row>
    <row r="64399" spans="2:2" x14ac:dyDescent="0.25">
      <c r="B64399" s="182"/>
    </row>
    <row r="64400" spans="2:2" x14ac:dyDescent="0.25">
      <c r="B64400" s="182"/>
    </row>
    <row r="64401" spans="2:2" x14ac:dyDescent="0.25">
      <c r="B64401" s="182"/>
    </row>
    <row r="64402" spans="2:2" x14ac:dyDescent="0.25">
      <c r="B64402" s="182"/>
    </row>
    <row r="64403" spans="2:2" x14ac:dyDescent="0.25">
      <c r="B64403" s="182"/>
    </row>
    <row r="64404" spans="2:2" x14ac:dyDescent="0.25">
      <c r="B64404" s="182"/>
    </row>
    <row r="64405" spans="2:2" x14ac:dyDescent="0.25">
      <c r="B64405" s="182"/>
    </row>
    <row r="64406" spans="2:2" x14ac:dyDescent="0.25">
      <c r="B64406" s="182"/>
    </row>
    <row r="64407" spans="2:2" x14ac:dyDescent="0.25">
      <c r="B64407" s="182"/>
    </row>
    <row r="64408" spans="2:2" x14ac:dyDescent="0.25">
      <c r="B64408" s="182"/>
    </row>
    <row r="64409" spans="2:2" x14ac:dyDescent="0.25">
      <c r="B64409" s="182"/>
    </row>
    <row r="64410" spans="2:2" x14ac:dyDescent="0.25">
      <c r="B64410" s="182"/>
    </row>
    <row r="64411" spans="2:2" x14ac:dyDescent="0.25">
      <c r="B64411" s="182"/>
    </row>
    <row r="64412" spans="2:2" x14ac:dyDescent="0.25">
      <c r="B64412" s="182"/>
    </row>
    <row r="64413" spans="2:2" x14ac:dyDescent="0.25">
      <c r="B64413" s="182"/>
    </row>
    <row r="64414" spans="2:2" x14ac:dyDescent="0.25">
      <c r="B64414" s="182"/>
    </row>
    <row r="64415" spans="2:2" x14ac:dyDescent="0.25">
      <c r="B64415" s="182"/>
    </row>
    <row r="64416" spans="2:2" x14ac:dyDescent="0.25">
      <c r="B64416" s="182"/>
    </row>
    <row r="64417" spans="2:2" x14ac:dyDescent="0.25">
      <c r="B64417" s="182"/>
    </row>
    <row r="64418" spans="2:2" x14ac:dyDescent="0.25">
      <c r="B64418" s="182"/>
    </row>
    <row r="64419" spans="2:2" x14ac:dyDescent="0.25">
      <c r="B64419" s="182"/>
    </row>
    <row r="64420" spans="2:2" x14ac:dyDescent="0.25">
      <c r="B64420" s="182"/>
    </row>
    <row r="64421" spans="2:2" x14ac:dyDescent="0.25">
      <c r="B64421" s="182"/>
    </row>
    <row r="64422" spans="2:2" x14ac:dyDescent="0.25">
      <c r="B64422" s="182"/>
    </row>
    <row r="64423" spans="2:2" x14ac:dyDescent="0.25">
      <c r="B64423" s="182"/>
    </row>
    <row r="64424" spans="2:2" x14ac:dyDescent="0.25">
      <c r="B64424" s="182"/>
    </row>
    <row r="64425" spans="2:2" x14ac:dyDescent="0.25">
      <c r="B64425" s="182"/>
    </row>
    <row r="64426" spans="2:2" x14ac:dyDescent="0.25">
      <c r="B64426" s="182"/>
    </row>
    <row r="64427" spans="2:2" x14ac:dyDescent="0.25">
      <c r="B64427" s="182"/>
    </row>
    <row r="64428" spans="2:2" x14ac:dyDescent="0.25">
      <c r="B64428" s="182"/>
    </row>
    <row r="64429" spans="2:2" x14ac:dyDescent="0.25">
      <c r="B64429" s="182"/>
    </row>
    <row r="64430" spans="2:2" x14ac:dyDescent="0.25">
      <c r="B64430" s="182"/>
    </row>
    <row r="64431" spans="2:2" x14ac:dyDescent="0.25">
      <c r="B64431" s="182"/>
    </row>
    <row r="64432" spans="2:2" x14ac:dyDescent="0.25">
      <c r="B64432" s="182"/>
    </row>
    <row r="64433" spans="2:2" x14ac:dyDescent="0.25">
      <c r="B64433" s="182"/>
    </row>
    <row r="64434" spans="2:2" x14ac:dyDescent="0.25">
      <c r="B64434" s="182"/>
    </row>
    <row r="64435" spans="2:2" x14ac:dyDescent="0.25">
      <c r="B64435" s="182"/>
    </row>
    <row r="64436" spans="2:2" x14ac:dyDescent="0.25">
      <c r="B64436" s="182"/>
    </row>
    <row r="64437" spans="2:2" x14ac:dyDescent="0.25">
      <c r="B64437" s="182"/>
    </row>
    <row r="64438" spans="2:2" x14ac:dyDescent="0.25">
      <c r="B64438" s="182"/>
    </row>
    <row r="64439" spans="2:2" x14ac:dyDescent="0.25">
      <c r="B64439" s="182"/>
    </row>
    <row r="64440" spans="2:2" x14ac:dyDescent="0.25">
      <c r="B64440" s="182"/>
    </row>
    <row r="64441" spans="2:2" x14ac:dyDescent="0.25">
      <c r="B64441" s="182"/>
    </row>
    <row r="64442" spans="2:2" x14ac:dyDescent="0.25">
      <c r="B64442" s="182"/>
    </row>
    <row r="64443" spans="2:2" x14ac:dyDescent="0.25">
      <c r="B64443" s="182"/>
    </row>
    <row r="64444" spans="2:2" x14ac:dyDescent="0.25">
      <c r="B64444" s="182"/>
    </row>
    <row r="64445" spans="2:2" x14ac:dyDescent="0.25">
      <c r="B64445" s="182"/>
    </row>
    <row r="64446" spans="2:2" x14ac:dyDescent="0.25">
      <c r="B64446" s="182"/>
    </row>
    <row r="64447" spans="2:2" x14ac:dyDescent="0.25">
      <c r="B64447" s="182"/>
    </row>
    <row r="64448" spans="2:2" x14ac:dyDescent="0.25">
      <c r="B64448" s="182"/>
    </row>
    <row r="64449" spans="2:2" x14ac:dyDescent="0.25">
      <c r="B64449" s="182"/>
    </row>
    <row r="64450" spans="2:2" x14ac:dyDescent="0.25">
      <c r="B64450" s="182"/>
    </row>
    <row r="64451" spans="2:2" x14ac:dyDescent="0.25">
      <c r="B64451" s="182"/>
    </row>
    <row r="64452" spans="2:2" x14ac:dyDescent="0.25">
      <c r="B64452" s="182"/>
    </row>
    <row r="64453" spans="2:2" x14ac:dyDescent="0.25">
      <c r="B64453" s="182"/>
    </row>
    <row r="64454" spans="2:2" x14ac:dyDescent="0.25">
      <c r="B64454" s="182"/>
    </row>
    <row r="64455" spans="2:2" x14ac:dyDescent="0.25">
      <c r="B64455" s="182"/>
    </row>
    <row r="64456" spans="2:2" x14ac:dyDescent="0.25">
      <c r="B64456" s="182"/>
    </row>
    <row r="64457" spans="2:2" x14ac:dyDescent="0.25">
      <c r="B64457" s="182"/>
    </row>
    <row r="64458" spans="2:2" x14ac:dyDescent="0.25">
      <c r="B64458" s="182"/>
    </row>
    <row r="64459" spans="2:2" x14ac:dyDescent="0.25">
      <c r="B64459" s="182"/>
    </row>
    <row r="64460" spans="2:2" x14ac:dyDescent="0.25">
      <c r="B64460" s="182"/>
    </row>
    <row r="64461" spans="2:2" x14ac:dyDescent="0.25">
      <c r="B64461" s="182"/>
    </row>
    <row r="64462" spans="2:2" x14ac:dyDescent="0.25">
      <c r="B64462" s="182"/>
    </row>
    <row r="64463" spans="2:2" x14ac:dyDescent="0.25">
      <c r="B64463" s="182"/>
    </row>
    <row r="64464" spans="2:2" x14ac:dyDescent="0.25">
      <c r="B64464" s="182"/>
    </row>
    <row r="64465" spans="2:2" x14ac:dyDescent="0.25">
      <c r="B64465" s="182"/>
    </row>
    <row r="64466" spans="2:2" x14ac:dyDescent="0.25">
      <c r="B64466" s="182"/>
    </row>
    <row r="64467" spans="2:2" x14ac:dyDescent="0.25">
      <c r="B64467" s="182"/>
    </row>
    <row r="64468" spans="2:2" x14ac:dyDescent="0.25">
      <c r="B64468" s="182"/>
    </row>
    <row r="64469" spans="2:2" x14ac:dyDescent="0.25">
      <c r="B64469" s="182"/>
    </row>
    <row r="64470" spans="2:2" x14ac:dyDescent="0.25">
      <c r="B64470" s="182"/>
    </row>
    <row r="64471" spans="2:2" x14ac:dyDescent="0.25">
      <c r="B64471" s="182"/>
    </row>
    <row r="64472" spans="2:2" x14ac:dyDescent="0.25">
      <c r="B64472" s="182"/>
    </row>
    <row r="64473" spans="2:2" x14ac:dyDescent="0.25">
      <c r="B64473" s="182"/>
    </row>
    <row r="64474" spans="2:2" x14ac:dyDescent="0.25">
      <c r="B64474" s="182"/>
    </row>
    <row r="64475" spans="2:2" x14ac:dyDescent="0.25">
      <c r="B64475" s="182"/>
    </row>
    <row r="64476" spans="2:2" x14ac:dyDescent="0.25">
      <c r="B64476" s="182"/>
    </row>
    <row r="64477" spans="2:2" x14ac:dyDescent="0.25">
      <c r="B64477" s="182"/>
    </row>
    <row r="64478" spans="2:2" x14ac:dyDescent="0.25">
      <c r="B64478" s="182"/>
    </row>
    <row r="64479" spans="2:2" x14ac:dyDescent="0.25">
      <c r="B64479" s="182"/>
    </row>
    <row r="64480" spans="2:2" x14ac:dyDescent="0.25">
      <c r="B64480" s="182"/>
    </row>
    <row r="64481" spans="2:2" x14ac:dyDescent="0.25">
      <c r="B64481" s="182"/>
    </row>
    <row r="64482" spans="2:2" x14ac:dyDescent="0.25">
      <c r="B64482" s="182"/>
    </row>
    <row r="64483" spans="2:2" x14ac:dyDescent="0.25">
      <c r="B64483" s="182"/>
    </row>
    <row r="64484" spans="2:2" x14ac:dyDescent="0.25">
      <c r="B64484" s="182"/>
    </row>
    <row r="64485" spans="2:2" x14ac:dyDescent="0.25">
      <c r="B64485" s="182"/>
    </row>
    <row r="64486" spans="2:2" x14ac:dyDescent="0.25">
      <c r="B64486" s="182"/>
    </row>
    <row r="64487" spans="2:2" x14ac:dyDescent="0.25">
      <c r="B64487" s="182"/>
    </row>
    <row r="64488" spans="2:2" x14ac:dyDescent="0.25">
      <c r="B64488" s="182"/>
    </row>
    <row r="64489" spans="2:2" x14ac:dyDescent="0.25">
      <c r="B64489" s="182"/>
    </row>
    <row r="64490" spans="2:2" x14ac:dyDescent="0.25">
      <c r="B64490" s="182"/>
    </row>
    <row r="64491" spans="2:2" x14ac:dyDescent="0.25">
      <c r="B64491" s="182"/>
    </row>
    <row r="64492" spans="2:2" x14ac:dyDescent="0.25">
      <c r="B64492" s="182"/>
    </row>
    <row r="64493" spans="2:2" x14ac:dyDescent="0.25">
      <c r="B64493" s="182"/>
    </row>
    <row r="64494" spans="2:2" x14ac:dyDescent="0.25">
      <c r="B64494" s="182"/>
    </row>
    <row r="64495" spans="2:2" x14ac:dyDescent="0.25">
      <c r="B64495" s="182"/>
    </row>
    <row r="64496" spans="2:2" x14ac:dyDescent="0.25">
      <c r="B64496" s="182"/>
    </row>
    <row r="64497" spans="2:2" x14ac:dyDescent="0.25">
      <c r="B64497" s="182"/>
    </row>
    <row r="64498" spans="2:2" x14ac:dyDescent="0.25">
      <c r="B64498" s="182"/>
    </row>
    <row r="64499" spans="2:2" x14ac:dyDescent="0.25">
      <c r="B64499" s="182"/>
    </row>
    <row r="64500" spans="2:2" x14ac:dyDescent="0.25">
      <c r="B64500" s="182"/>
    </row>
    <row r="64501" spans="2:2" x14ac:dyDescent="0.25">
      <c r="B64501" s="182"/>
    </row>
    <row r="64502" spans="2:2" x14ac:dyDescent="0.25">
      <c r="B64502" s="182"/>
    </row>
    <row r="64503" spans="2:2" x14ac:dyDescent="0.25">
      <c r="B64503" s="182"/>
    </row>
    <row r="64504" spans="2:2" x14ac:dyDescent="0.25">
      <c r="B64504" s="182"/>
    </row>
    <row r="64505" spans="2:2" x14ac:dyDescent="0.25">
      <c r="B64505" s="182"/>
    </row>
    <row r="64506" spans="2:2" x14ac:dyDescent="0.25">
      <c r="B64506" s="182"/>
    </row>
    <row r="64507" spans="2:2" x14ac:dyDescent="0.25">
      <c r="B64507" s="182"/>
    </row>
    <row r="64508" spans="2:2" x14ac:dyDescent="0.25">
      <c r="B64508" s="182"/>
    </row>
    <row r="64509" spans="2:2" x14ac:dyDescent="0.25">
      <c r="B64509" s="182"/>
    </row>
    <row r="64510" spans="2:2" x14ac:dyDescent="0.25">
      <c r="B64510" s="182"/>
    </row>
    <row r="64511" spans="2:2" x14ac:dyDescent="0.25">
      <c r="B64511" s="182"/>
    </row>
    <row r="64512" spans="2:2" x14ac:dyDescent="0.25">
      <c r="B64512" s="182"/>
    </row>
    <row r="64513" spans="2:2" x14ac:dyDescent="0.25">
      <c r="B64513" s="182"/>
    </row>
    <row r="64514" spans="2:2" x14ac:dyDescent="0.25">
      <c r="B64514" s="182"/>
    </row>
    <row r="64515" spans="2:2" x14ac:dyDescent="0.25">
      <c r="B64515" s="182"/>
    </row>
    <row r="64516" spans="2:2" x14ac:dyDescent="0.25">
      <c r="B64516" s="182"/>
    </row>
    <row r="64517" spans="2:2" x14ac:dyDescent="0.25">
      <c r="B64517" s="182"/>
    </row>
    <row r="64518" spans="2:2" x14ac:dyDescent="0.25">
      <c r="B64518" s="182"/>
    </row>
    <row r="64519" spans="2:2" x14ac:dyDescent="0.25">
      <c r="B64519" s="182"/>
    </row>
    <row r="64520" spans="2:2" x14ac:dyDescent="0.25">
      <c r="B64520" s="182"/>
    </row>
    <row r="64521" spans="2:2" x14ac:dyDescent="0.25">
      <c r="B64521" s="182"/>
    </row>
    <row r="64522" spans="2:2" x14ac:dyDescent="0.25">
      <c r="B64522" s="182"/>
    </row>
    <row r="64523" spans="2:2" x14ac:dyDescent="0.25">
      <c r="B64523" s="182"/>
    </row>
    <row r="64524" spans="2:2" x14ac:dyDescent="0.25">
      <c r="B64524" s="182"/>
    </row>
    <row r="64525" spans="2:2" x14ac:dyDescent="0.25">
      <c r="B64525" s="182"/>
    </row>
    <row r="64526" spans="2:2" x14ac:dyDescent="0.25">
      <c r="B64526" s="182"/>
    </row>
    <row r="64527" spans="2:2" x14ac:dyDescent="0.25">
      <c r="B64527" s="182"/>
    </row>
    <row r="64528" spans="2:2" x14ac:dyDescent="0.25">
      <c r="B64528" s="182"/>
    </row>
    <row r="64529" spans="2:2" x14ac:dyDescent="0.25">
      <c r="B64529" s="182"/>
    </row>
    <row r="64530" spans="2:2" x14ac:dyDescent="0.25">
      <c r="B64530" s="182"/>
    </row>
    <row r="64531" spans="2:2" x14ac:dyDescent="0.25">
      <c r="B64531" s="182"/>
    </row>
    <row r="64532" spans="2:2" x14ac:dyDescent="0.25">
      <c r="B64532" s="182"/>
    </row>
    <row r="64533" spans="2:2" x14ac:dyDescent="0.25">
      <c r="B64533" s="182"/>
    </row>
    <row r="64534" spans="2:2" x14ac:dyDescent="0.25">
      <c r="B64534" s="182"/>
    </row>
    <row r="64535" spans="2:2" x14ac:dyDescent="0.25">
      <c r="B64535" s="182"/>
    </row>
    <row r="64536" spans="2:2" x14ac:dyDescent="0.25">
      <c r="B64536" s="182"/>
    </row>
    <row r="64537" spans="2:2" x14ac:dyDescent="0.25">
      <c r="B64537" s="182"/>
    </row>
    <row r="64538" spans="2:2" x14ac:dyDescent="0.25">
      <c r="B64538" s="182"/>
    </row>
    <row r="64539" spans="2:2" x14ac:dyDescent="0.25">
      <c r="B64539" s="182"/>
    </row>
    <row r="64540" spans="2:2" x14ac:dyDescent="0.25">
      <c r="B64540" s="182"/>
    </row>
    <row r="64541" spans="2:2" x14ac:dyDescent="0.25">
      <c r="B64541" s="182"/>
    </row>
    <row r="64542" spans="2:2" x14ac:dyDescent="0.25">
      <c r="B64542" s="182"/>
    </row>
    <row r="64543" spans="2:2" x14ac:dyDescent="0.25">
      <c r="B64543" s="182"/>
    </row>
    <row r="64544" spans="2:2" x14ac:dyDescent="0.25">
      <c r="B64544" s="182"/>
    </row>
    <row r="64545" spans="2:2" x14ac:dyDescent="0.25">
      <c r="B64545" s="182"/>
    </row>
    <row r="64546" spans="2:2" x14ac:dyDescent="0.25">
      <c r="B64546" s="182"/>
    </row>
    <row r="64547" spans="2:2" x14ac:dyDescent="0.25">
      <c r="B64547" s="182"/>
    </row>
    <row r="64548" spans="2:2" x14ac:dyDescent="0.25">
      <c r="B64548" s="182"/>
    </row>
    <row r="64549" spans="2:2" x14ac:dyDescent="0.25">
      <c r="B64549" s="182"/>
    </row>
    <row r="64550" spans="2:2" x14ac:dyDescent="0.25">
      <c r="B64550" s="182"/>
    </row>
    <row r="64551" spans="2:2" x14ac:dyDescent="0.25">
      <c r="B64551" s="182"/>
    </row>
    <row r="64552" spans="2:2" x14ac:dyDescent="0.25">
      <c r="B64552" s="182"/>
    </row>
    <row r="64553" spans="2:2" x14ac:dyDescent="0.25">
      <c r="B64553" s="182"/>
    </row>
    <row r="64554" spans="2:2" x14ac:dyDescent="0.25">
      <c r="B64554" s="182"/>
    </row>
    <row r="64555" spans="2:2" x14ac:dyDescent="0.25">
      <c r="B64555" s="182"/>
    </row>
    <row r="64556" spans="2:2" x14ac:dyDescent="0.25">
      <c r="B64556" s="182"/>
    </row>
    <row r="64557" spans="2:2" x14ac:dyDescent="0.25">
      <c r="B64557" s="182"/>
    </row>
    <row r="64558" spans="2:2" x14ac:dyDescent="0.25">
      <c r="B64558" s="182"/>
    </row>
    <row r="64559" spans="2:2" x14ac:dyDescent="0.25">
      <c r="B64559" s="182"/>
    </row>
    <row r="64560" spans="2:2" x14ac:dyDescent="0.25">
      <c r="B64560" s="182"/>
    </row>
    <row r="64561" spans="2:2" x14ac:dyDescent="0.25">
      <c r="B64561" s="182"/>
    </row>
    <row r="64562" spans="2:2" x14ac:dyDescent="0.25">
      <c r="B64562" s="182"/>
    </row>
    <row r="64563" spans="2:2" x14ac:dyDescent="0.25">
      <c r="B64563" s="182"/>
    </row>
    <row r="64564" spans="2:2" x14ac:dyDescent="0.25">
      <c r="B64564" s="182"/>
    </row>
    <row r="64565" spans="2:2" x14ac:dyDescent="0.25">
      <c r="B64565" s="182"/>
    </row>
    <row r="64566" spans="2:2" x14ac:dyDescent="0.25">
      <c r="B64566" s="182"/>
    </row>
    <row r="64567" spans="2:2" x14ac:dyDescent="0.25">
      <c r="B64567" s="182"/>
    </row>
    <row r="64568" spans="2:2" x14ac:dyDescent="0.25">
      <c r="B64568" s="182"/>
    </row>
    <row r="64569" spans="2:2" x14ac:dyDescent="0.25">
      <c r="B64569" s="182"/>
    </row>
    <row r="64570" spans="2:2" x14ac:dyDescent="0.25">
      <c r="B64570" s="182"/>
    </row>
    <row r="64571" spans="2:2" x14ac:dyDescent="0.25">
      <c r="B64571" s="182"/>
    </row>
    <row r="64572" spans="2:2" x14ac:dyDescent="0.25">
      <c r="B64572" s="182"/>
    </row>
    <row r="64573" spans="2:2" x14ac:dyDescent="0.25">
      <c r="B64573" s="182"/>
    </row>
    <row r="64574" spans="2:2" x14ac:dyDescent="0.25">
      <c r="B64574" s="182"/>
    </row>
    <row r="64575" spans="2:2" x14ac:dyDescent="0.25">
      <c r="B64575" s="182"/>
    </row>
    <row r="64576" spans="2:2" x14ac:dyDescent="0.25">
      <c r="B64576" s="182"/>
    </row>
    <row r="64577" spans="2:2" x14ac:dyDescent="0.25">
      <c r="B64577" s="182"/>
    </row>
    <row r="64578" spans="2:2" x14ac:dyDescent="0.25">
      <c r="B64578" s="182"/>
    </row>
    <row r="64579" spans="2:2" x14ac:dyDescent="0.25">
      <c r="B64579" s="182"/>
    </row>
    <row r="64580" spans="2:2" x14ac:dyDescent="0.25">
      <c r="B64580" s="182"/>
    </row>
    <row r="64581" spans="2:2" x14ac:dyDescent="0.25">
      <c r="B64581" s="182"/>
    </row>
    <row r="64582" spans="2:2" x14ac:dyDescent="0.25">
      <c r="B64582" s="182"/>
    </row>
    <row r="64583" spans="2:2" x14ac:dyDescent="0.25">
      <c r="B64583" s="182"/>
    </row>
    <row r="64584" spans="2:2" x14ac:dyDescent="0.25">
      <c r="B64584" s="182"/>
    </row>
    <row r="64585" spans="2:2" x14ac:dyDescent="0.25">
      <c r="B64585" s="182"/>
    </row>
    <row r="64586" spans="2:2" x14ac:dyDescent="0.25">
      <c r="B64586" s="182"/>
    </row>
    <row r="64587" spans="2:2" x14ac:dyDescent="0.25">
      <c r="B64587" s="182"/>
    </row>
    <row r="64588" spans="2:2" x14ac:dyDescent="0.25">
      <c r="B64588" s="182"/>
    </row>
    <row r="64589" spans="2:2" x14ac:dyDescent="0.25">
      <c r="B64589" s="182"/>
    </row>
    <row r="64590" spans="2:2" x14ac:dyDescent="0.25">
      <c r="B64590" s="182"/>
    </row>
    <row r="64591" spans="2:2" x14ac:dyDescent="0.25">
      <c r="B64591" s="182"/>
    </row>
    <row r="64592" spans="2:2" x14ac:dyDescent="0.25">
      <c r="B64592" s="182"/>
    </row>
    <row r="64593" spans="2:2" x14ac:dyDescent="0.25">
      <c r="B64593" s="182"/>
    </row>
    <row r="64594" spans="2:2" x14ac:dyDescent="0.25">
      <c r="B64594" s="182"/>
    </row>
    <row r="64595" spans="2:2" x14ac:dyDescent="0.25">
      <c r="B64595" s="182"/>
    </row>
    <row r="64596" spans="2:2" x14ac:dyDescent="0.25">
      <c r="B64596" s="182"/>
    </row>
    <row r="64597" spans="2:2" x14ac:dyDescent="0.25">
      <c r="B64597" s="182"/>
    </row>
    <row r="64598" spans="2:2" x14ac:dyDescent="0.25">
      <c r="B64598" s="182"/>
    </row>
    <row r="64599" spans="2:2" x14ac:dyDescent="0.25">
      <c r="B64599" s="182"/>
    </row>
    <row r="64600" spans="2:2" x14ac:dyDescent="0.25">
      <c r="B64600" s="182"/>
    </row>
    <row r="64601" spans="2:2" x14ac:dyDescent="0.25">
      <c r="B64601" s="182"/>
    </row>
    <row r="64602" spans="2:2" x14ac:dyDescent="0.25">
      <c r="B64602" s="182"/>
    </row>
    <row r="64603" spans="2:2" x14ac:dyDescent="0.25">
      <c r="B64603" s="182"/>
    </row>
    <row r="64604" spans="2:2" x14ac:dyDescent="0.25">
      <c r="B64604" s="182"/>
    </row>
    <row r="64605" spans="2:2" x14ac:dyDescent="0.25">
      <c r="B64605" s="182"/>
    </row>
    <row r="64606" spans="2:2" x14ac:dyDescent="0.25">
      <c r="B64606" s="182"/>
    </row>
    <row r="64607" spans="2:2" x14ac:dyDescent="0.25">
      <c r="B64607" s="182"/>
    </row>
    <row r="64608" spans="2:2" x14ac:dyDescent="0.25">
      <c r="B64608" s="182"/>
    </row>
    <row r="64609" spans="2:2" x14ac:dyDescent="0.25">
      <c r="B64609" s="182"/>
    </row>
    <row r="64610" spans="2:2" x14ac:dyDescent="0.25">
      <c r="B64610" s="182"/>
    </row>
    <row r="64611" spans="2:2" x14ac:dyDescent="0.25">
      <c r="B64611" s="182"/>
    </row>
    <row r="64612" spans="2:2" x14ac:dyDescent="0.25">
      <c r="B64612" s="182"/>
    </row>
    <row r="64613" spans="2:2" x14ac:dyDescent="0.25">
      <c r="B64613" s="182"/>
    </row>
    <row r="64614" spans="2:2" x14ac:dyDescent="0.25">
      <c r="B64614" s="182"/>
    </row>
    <row r="64615" spans="2:2" x14ac:dyDescent="0.25">
      <c r="B64615" s="182"/>
    </row>
    <row r="64616" spans="2:2" x14ac:dyDescent="0.25">
      <c r="B64616" s="182"/>
    </row>
    <row r="64617" spans="2:2" x14ac:dyDescent="0.25">
      <c r="B64617" s="182"/>
    </row>
    <row r="64618" spans="2:2" x14ac:dyDescent="0.25">
      <c r="B64618" s="182"/>
    </row>
    <row r="64619" spans="2:2" x14ac:dyDescent="0.25">
      <c r="B64619" s="182"/>
    </row>
    <row r="64620" spans="2:2" x14ac:dyDescent="0.25">
      <c r="B64620" s="182"/>
    </row>
    <row r="64621" spans="2:2" x14ac:dyDescent="0.25">
      <c r="B64621" s="182"/>
    </row>
    <row r="64622" spans="2:2" x14ac:dyDescent="0.25">
      <c r="B64622" s="182"/>
    </row>
    <row r="64623" spans="2:2" x14ac:dyDescent="0.25">
      <c r="B64623" s="182"/>
    </row>
    <row r="64624" spans="2:2" x14ac:dyDescent="0.25">
      <c r="B64624" s="182"/>
    </row>
    <row r="64625" spans="2:2" x14ac:dyDescent="0.25">
      <c r="B64625" s="182"/>
    </row>
    <row r="64626" spans="2:2" x14ac:dyDescent="0.25">
      <c r="B64626" s="182"/>
    </row>
    <row r="64627" spans="2:2" x14ac:dyDescent="0.25">
      <c r="B64627" s="182"/>
    </row>
    <row r="64628" spans="2:2" x14ac:dyDescent="0.25">
      <c r="B64628" s="182"/>
    </row>
    <row r="64629" spans="2:2" x14ac:dyDescent="0.25">
      <c r="B64629" s="182"/>
    </row>
    <row r="64630" spans="2:2" x14ac:dyDescent="0.25">
      <c r="B64630" s="182"/>
    </row>
    <row r="64631" spans="2:2" x14ac:dyDescent="0.25">
      <c r="B64631" s="182"/>
    </row>
    <row r="64632" spans="2:2" x14ac:dyDescent="0.25">
      <c r="B64632" s="182"/>
    </row>
    <row r="64633" spans="2:2" x14ac:dyDescent="0.25">
      <c r="B64633" s="182"/>
    </row>
    <row r="64634" spans="2:2" x14ac:dyDescent="0.25">
      <c r="B64634" s="182"/>
    </row>
    <row r="64635" spans="2:2" x14ac:dyDescent="0.25">
      <c r="B64635" s="182"/>
    </row>
    <row r="64636" spans="2:2" x14ac:dyDescent="0.25">
      <c r="B64636" s="182"/>
    </row>
    <row r="64637" spans="2:2" x14ac:dyDescent="0.25">
      <c r="B64637" s="182"/>
    </row>
    <row r="64638" spans="2:2" x14ac:dyDescent="0.25">
      <c r="B64638" s="182"/>
    </row>
    <row r="64639" spans="2:2" x14ac:dyDescent="0.25">
      <c r="B64639" s="182"/>
    </row>
    <row r="64640" spans="2:2" x14ac:dyDescent="0.25">
      <c r="B64640" s="182"/>
    </row>
    <row r="64641" spans="2:2" x14ac:dyDescent="0.25">
      <c r="B64641" s="182"/>
    </row>
    <row r="64642" spans="2:2" x14ac:dyDescent="0.25">
      <c r="B64642" s="182"/>
    </row>
    <row r="64643" spans="2:2" x14ac:dyDescent="0.25">
      <c r="B64643" s="182"/>
    </row>
    <row r="64644" spans="2:2" x14ac:dyDescent="0.25">
      <c r="B64644" s="182"/>
    </row>
    <row r="64645" spans="2:2" x14ac:dyDescent="0.25">
      <c r="B64645" s="182"/>
    </row>
    <row r="64646" spans="2:2" x14ac:dyDescent="0.25">
      <c r="B64646" s="182"/>
    </row>
    <row r="64647" spans="2:2" x14ac:dyDescent="0.25">
      <c r="B64647" s="182"/>
    </row>
    <row r="64648" spans="2:2" x14ac:dyDescent="0.25">
      <c r="B64648" s="182"/>
    </row>
    <row r="64649" spans="2:2" x14ac:dyDescent="0.25">
      <c r="B64649" s="182"/>
    </row>
    <row r="64650" spans="2:2" x14ac:dyDescent="0.25">
      <c r="B64650" s="182"/>
    </row>
    <row r="64651" spans="2:2" x14ac:dyDescent="0.25">
      <c r="B64651" s="182"/>
    </row>
    <row r="64652" spans="2:2" x14ac:dyDescent="0.25">
      <c r="B64652" s="1"/>
    </row>
    <row r="64653" spans="2:2" x14ac:dyDescent="0.25">
      <c r="B64653" s="1"/>
    </row>
    <row r="64654" spans="2:2" x14ac:dyDescent="0.25">
      <c r="B64654" s="1"/>
    </row>
    <row r="64655" spans="2:2" x14ac:dyDescent="0.25">
      <c r="B64655" s="1"/>
    </row>
    <row r="64656" spans="2:2" x14ac:dyDescent="0.25">
      <c r="B64656" s="1"/>
    </row>
    <row r="64657" spans="2:2" x14ac:dyDescent="0.25">
      <c r="B64657" s="1"/>
    </row>
    <row r="64658" spans="2:2" x14ac:dyDescent="0.25">
      <c r="B64658" s="1"/>
    </row>
    <row r="64659" spans="2:2" x14ac:dyDescent="0.25">
      <c r="B64659" s="1"/>
    </row>
    <row r="64660" spans="2:2" x14ac:dyDescent="0.25">
      <c r="B64660" s="1"/>
    </row>
    <row r="64661" spans="2:2" x14ac:dyDescent="0.25">
      <c r="B64661" s="1"/>
    </row>
    <row r="64662" spans="2:2" x14ac:dyDescent="0.25">
      <c r="B64662" s="1"/>
    </row>
    <row r="64663" spans="2:2" x14ac:dyDescent="0.25">
      <c r="B64663" s="1"/>
    </row>
    <row r="64664" spans="2:2" x14ac:dyDescent="0.25">
      <c r="B64664" s="1"/>
    </row>
    <row r="64665" spans="2:2" x14ac:dyDescent="0.25">
      <c r="B64665" s="1"/>
    </row>
    <row r="64666" spans="2:2" x14ac:dyDescent="0.25">
      <c r="B64666" s="1"/>
    </row>
    <row r="64667" spans="2:2" x14ac:dyDescent="0.25">
      <c r="B64667" s="1"/>
    </row>
    <row r="64668" spans="2:2" x14ac:dyDescent="0.25">
      <c r="B64668" s="1"/>
    </row>
    <row r="64669" spans="2:2" x14ac:dyDescent="0.25">
      <c r="B64669" s="1"/>
    </row>
    <row r="64670" spans="2:2" x14ac:dyDescent="0.25">
      <c r="B64670" s="1"/>
    </row>
    <row r="64671" spans="2:2" x14ac:dyDescent="0.25">
      <c r="B64671" s="1"/>
    </row>
    <row r="64672" spans="2:2" x14ac:dyDescent="0.25">
      <c r="B64672" s="1"/>
    </row>
    <row r="64673" spans="2:2" x14ac:dyDescent="0.25">
      <c r="B64673" s="1"/>
    </row>
    <row r="64674" spans="2:2" x14ac:dyDescent="0.25">
      <c r="B64674" s="1"/>
    </row>
    <row r="64675" spans="2:2" x14ac:dyDescent="0.25">
      <c r="B64675" s="1"/>
    </row>
    <row r="64676" spans="2:2" x14ac:dyDescent="0.25">
      <c r="B64676" s="1"/>
    </row>
    <row r="64677" spans="2:2" x14ac:dyDescent="0.25">
      <c r="B64677" s="1"/>
    </row>
    <row r="64678" spans="2:2" x14ac:dyDescent="0.25">
      <c r="B64678" s="1"/>
    </row>
    <row r="64679" spans="2:2" x14ac:dyDescent="0.25">
      <c r="B64679" s="1"/>
    </row>
    <row r="64680" spans="2:2" x14ac:dyDescent="0.25">
      <c r="B64680" s="1"/>
    </row>
    <row r="64681" spans="2:2" x14ac:dyDescent="0.25">
      <c r="B64681" s="1"/>
    </row>
    <row r="64682" spans="2:2" x14ac:dyDescent="0.25">
      <c r="B64682" s="1"/>
    </row>
    <row r="64683" spans="2:2" x14ac:dyDescent="0.25">
      <c r="B64683" s="1"/>
    </row>
    <row r="64684" spans="2:2" x14ac:dyDescent="0.25">
      <c r="B64684" s="1"/>
    </row>
    <row r="64685" spans="2:2" x14ac:dyDescent="0.25">
      <c r="B64685" s="1"/>
    </row>
    <row r="64686" spans="2:2" x14ac:dyDescent="0.25">
      <c r="B64686" s="1"/>
    </row>
    <row r="64687" spans="2:2" x14ac:dyDescent="0.25">
      <c r="B64687" s="1"/>
    </row>
    <row r="64688" spans="2:2" x14ac:dyDescent="0.25">
      <c r="B64688" s="1"/>
    </row>
    <row r="64689" spans="2:2" x14ac:dyDescent="0.25">
      <c r="B64689" s="1"/>
    </row>
    <row r="64690" spans="2:2" x14ac:dyDescent="0.25">
      <c r="B64690" s="1"/>
    </row>
    <row r="64691" spans="2:2" x14ac:dyDescent="0.25">
      <c r="B64691" s="1"/>
    </row>
    <row r="64692" spans="2:2" x14ac:dyDescent="0.25">
      <c r="B64692" s="1"/>
    </row>
    <row r="64693" spans="2:2" x14ac:dyDescent="0.25">
      <c r="B64693" s="1"/>
    </row>
    <row r="64694" spans="2:2" x14ac:dyDescent="0.25">
      <c r="B64694" s="1"/>
    </row>
    <row r="64695" spans="2:2" x14ac:dyDescent="0.25">
      <c r="B64695" s="1"/>
    </row>
    <row r="64696" spans="2:2" x14ac:dyDescent="0.25">
      <c r="B64696" s="1"/>
    </row>
    <row r="64697" spans="2:2" x14ac:dyDescent="0.25">
      <c r="B64697" s="1"/>
    </row>
    <row r="64698" spans="2:2" x14ac:dyDescent="0.25">
      <c r="B64698" s="1"/>
    </row>
    <row r="64699" spans="2:2" x14ac:dyDescent="0.25">
      <c r="B64699" s="1"/>
    </row>
    <row r="64700" spans="2:2" x14ac:dyDescent="0.25">
      <c r="B64700" s="1"/>
    </row>
  </sheetData>
  <mergeCells count="26">
    <mergeCell ref="C1:G1"/>
    <mergeCell ref="C2:G2"/>
    <mergeCell ref="H4:I4"/>
    <mergeCell ref="H7:I7"/>
    <mergeCell ref="B10:D10"/>
    <mergeCell ref="E10:J10"/>
    <mergeCell ref="B11:D11"/>
    <mergeCell ref="E11:J13"/>
    <mergeCell ref="B12:D12"/>
    <mergeCell ref="B13:D13"/>
    <mergeCell ref="C14:D14"/>
    <mergeCell ref="E14:J14"/>
    <mergeCell ref="F15:H15"/>
    <mergeCell ref="I15:J15"/>
    <mergeCell ref="E16:F16"/>
    <mergeCell ref="E17:F17"/>
    <mergeCell ref="E18:F18"/>
    <mergeCell ref="G18:H18"/>
    <mergeCell ref="E19:F19"/>
    <mergeCell ref="B47:C47"/>
    <mergeCell ref="B48:C48"/>
    <mergeCell ref="F54:G54"/>
    <mergeCell ref="C55:D55"/>
    <mergeCell ref="H55:I55"/>
    <mergeCell ref="C56:D56"/>
    <mergeCell ref="B57:I57"/>
  </mergeCells>
  <conditionalFormatting sqref="B21"/>
  <conditionalFormatting sqref="B22"/>
  <conditionalFormatting sqref="B24"/>
  <conditionalFormatting sqref="B25"/>
  <conditionalFormatting sqref="C25"/>
  <conditionalFormatting sqref="E25"/>
  <conditionalFormatting sqref="B26"/>
  <conditionalFormatting sqref="B27"/>
  <conditionalFormatting sqref="B28"/>
  <conditionalFormatting sqref="B29"/>
  <conditionalFormatting sqref="B30"/>
  <conditionalFormatting sqref="B31"/>
  <conditionalFormatting sqref="B32"/>
  <conditionalFormatting sqref="B33"/>
  <conditionalFormatting sqref="B34"/>
  <conditionalFormatting sqref="B35"/>
  <conditionalFormatting sqref="B36"/>
  <conditionalFormatting sqref="B37"/>
  <conditionalFormatting sqref="B21"/>
  <conditionalFormatting sqref="B21"/>
  <conditionalFormatting sqref="B21"/>
  <conditionalFormatting sqref="B22"/>
  <hyperlinks>
    <hyperlink ref="G18" r:id="rId1"/>
  </hyperlinks>
  <pageMargins left="0.35" right="0.3" top="0.75" bottom="0.75" header="0.3" footer="0.3"/>
  <pageSetup paperSize="9" orientation="portrait" horizontalDpi="4294967295" verticalDpi="4294967295" scale="77" fitToWidth="1" fitToHeight="1" firstPageNumber="1" useFirstPageNumber="1" copies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5"/>
  <sheetViews>
    <sheetView workbookViewId="0" zoomScale="100" zoomScaleNormal="100">
      <selection activeCell="E12" sqref="E12"/>
    </sheetView>
  </sheetViews>
  <sheetFormatPr defaultRowHeight="15" outlineLevelRow="0" outlineLevelCol="0" x14ac:dyDescent="0" defaultColWidth="10"/>
  <cols>
    <col min="2" max="2" width="99" customWidth="1"/>
  </cols>
  <sheetData>
    <row r="2" ht="24.95" customHeight="1" spans="2:2" x14ac:dyDescent="0.25">
      <c r="B2" s="183" t="s">
        <v>58</v>
      </c>
    </row>
    <row r="3" ht="16.5" customHeight="1" spans="2:2" x14ac:dyDescent="0.25">
      <c r="B3" s="184"/>
    </row>
    <row r="4" ht="24.95" customHeight="1" spans="2:2" x14ac:dyDescent="0.25">
      <c r="B4" s="185" t="s">
        <v>59</v>
      </c>
    </row>
    <row r="5" ht="24.95" customHeight="1" spans="2:2" x14ac:dyDescent="0.25">
      <c r="B5" s="186" t="s">
        <v>60</v>
      </c>
    </row>
    <row r="6" ht="24.95" customHeight="1" spans="2:2" x14ac:dyDescent="0.25">
      <c r="B6" s="186" t="s">
        <v>61</v>
      </c>
    </row>
    <row r="7" ht="24.95" customHeight="1" spans="2:2" x14ac:dyDescent="0.25">
      <c r="B7" s="186" t="s">
        <v>62</v>
      </c>
    </row>
    <row r="8" ht="24.95" customHeight="1" spans="2:2" x14ac:dyDescent="0.25">
      <c r="B8" s="187" t="s">
        <v>63</v>
      </c>
    </row>
    <row r="9" ht="24.95" customHeight="1" spans="2:2" x14ac:dyDescent="0.25">
      <c r="B9" s="186" t="s">
        <v>64</v>
      </c>
    </row>
    <row r="10" ht="24.95" customHeight="1" spans="2:2" x14ac:dyDescent="0.25">
      <c r="B10" s="186" t="s">
        <v>65</v>
      </c>
    </row>
    <row r="11" ht="37.5" customHeight="1" spans="2:2" x14ac:dyDescent="0.25">
      <c r="B11" s="188" t="s">
        <v>66</v>
      </c>
    </row>
    <row r="12" ht="24.95" customHeight="1" spans="2:2" x14ac:dyDescent="0.25">
      <c r="B12" s="186" t="s">
        <v>67</v>
      </c>
    </row>
    <row r="13" ht="24.95" customHeight="1" spans="2:2" x14ac:dyDescent="0.25">
      <c r="B13" s="186" t="s">
        <v>68</v>
      </c>
    </row>
    <row r="14" ht="24.95" customHeight="1" spans="2:2" x14ac:dyDescent="0.25">
      <c r="B14" s="186" t="s">
        <v>69</v>
      </c>
    </row>
    <row r="15" ht="15.75" customHeight="1" spans="2:2" x14ac:dyDescent="0.25">
      <c r="B15" s="18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 zoomScale="100" zoomScaleNormal="100">
      <selection activeCell="C11" sqref="C11"/>
    </sheetView>
  </sheetViews>
  <sheetFormatPr defaultRowHeight="15" outlineLevelRow="0" outlineLevelCol="0" x14ac:dyDescent="0" defaultColWidth="10"/>
  <cols>
    <col min="1" max="1" width="6" customWidth="1"/>
    <col min="2" max="2" width="118.5703125" customWidth="1"/>
  </cols>
  <sheetData>
    <row r="2" ht="18.75" customHeight="1" spans="2:2" x14ac:dyDescent="0.25">
      <c r="B2" s="183" t="s">
        <v>70</v>
      </c>
    </row>
    <row r="3" spans="2:2" x14ac:dyDescent="0.25">
      <c r="B3" s="190"/>
    </row>
    <row r="4" ht="24.95" customHeight="1" spans="2:2" x14ac:dyDescent="0.25">
      <c r="B4" s="186" t="s">
        <v>71</v>
      </c>
    </row>
    <row r="5" ht="24.95" customHeight="1" spans="2:2" x14ac:dyDescent="0.25">
      <c r="B5" s="186" t="s">
        <v>72</v>
      </c>
    </row>
    <row r="6" ht="24.95" customHeight="1" spans="2:2" x14ac:dyDescent="0.25">
      <c r="B6" s="186" t="s">
        <v>73</v>
      </c>
    </row>
    <row r="7" ht="24.95" customHeight="1" spans="2:2" x14ac:dyDescent="0.25">
      <c r="B7" s="186" t="s">
        <v>74</v>
      </c>
    </row>
    <row r="8" ht="24.95" customHeight="1" spans="2:2" x14ac:dyDescent="0.25">
      <c r="B8" s="186" t="s">
        <v>75</v>
      </c>
    </row>
    <row r="9" ht="24.95" customHeight="1" spans="2:2" x14ac:dyDescent="0.25">
      <c r="B9" s="186" t="s">
        <v>76</v>
      </c>
    </row>
    <row r="10" ht="24.95" customHeight="1" spans="2:2" x14ac:dyDescent="0.25">
      <c r="B10" s="186" t="s">
        <v>77</v>
      </c>
    </row>
    <row r="11" ht="36.75" customHeight="1" spans="2:2" x14ac:dyDescent="0.25">
      <c r="B11" s="188" t="s">
        <v>78</v>
      </c>
    </row>
    <row r="12" ht="36.75" customHeight="1" spans="2:2" x14ac:dyDescent="0.25">
      <c r="B12" s="188" t="s">
        <v>79</v>
      </c>
    </row>
    <row r="13" spans="2:2" x14ac:dyDescent="0.25">
      <c r="B13" s="1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OPI Format</vt:lpstr>
      <vt:lpstr>Rapid Order Terms &amp; Condition</vt:lpstr>
      <vt:lpstr>MDPL Supply Terms &amp;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Anish.Nair</cp:lastModifiedBy>
  <dcterms:created xsi:type="dcterms:W3CDTF">2014-12-07T23:16:00Z</dcterms:created>
  <dcterms:modified xsi:type="dcterms:W3CDTF">2026-02-28T14:01:54Z</dcterms:modified>
</cp:coreProperties>
</file>